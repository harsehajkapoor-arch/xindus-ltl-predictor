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<sst xmlns="http://schemas.openxmlformats.org/spreadsheetml/2006/main" count="786" uniqueCount="382">
  <si>
    <t>MAWB NO.</t>
  </si>
  <si>
    <t xml:space="preserve">HAWB # </t>
  </si>
  <si>
    <t>Weight (Kgs)</t>
  </si>
  <si>
    <t>FLIGHT No.</t>
  </si>
  <si>
    <t xml:space="preserve">Shipper </t>
  </si>
  <si>
    <t xml:space="preserve">Consignee /IOR </t>
  </si>
  <si>
    <t xml:space="preserve">Incoterm </t>
  </si>
  <si>
    <t>CFS</t>
  </si>
  <si>
    <t>CHB</t>
  </si>
  <si>
    <t>Pre Alert Date</t>
  </si>
  <si>
    <t>Expected FLYING DATE</t>
  </si>
  <si>
    <t>ETD (Local airport time)</t>
  </si>
  <si>
    <t>ATD (Local airport time)</t>
  </si>
  <si>
    <t>ETA (Local airport time)</t>
  </si>
  <si>
    <t xml:space="preserve">Recovered </t>
  </si>
  <si>
    <t>Number of pallets/Box</t>
  </si>
  <si>
    <t xml:space="preserve">Mode of delivery </t>
  </si>
  <si>
    <t xml:space="preserve">Carrier </t>
  </si>
  <si>
    <t xml:space="preserve">LTL vendor </t>
  </si>
  <si>
    <t>Delivery adress</t>
  </si>
  <si>
    <t xml:space="preserve">Estimated Price </t>
  </si>
  <si>
    <t>Achieved Price</t>
  </si>
  <si>
    <t xml:space="preserve">PRO # </t>
  </si>
  <si>
    <t>Pickup Date</t>
  </si>
  <si>
    <t>Estimate Delivery Date</t>
  </si>
  <si>
    <t xml:space="preserve">Actual Delivery Date </t>
  </si>
  <si>
    <t>074-55254286</t>
  </si>
  <si>
    <t xml:space="preserve">X000661474 </t>
  </si>
  <si>
    <t>DL-0049</t>
  </si>
  <si>
    <t>Kalawati</t>
  </si>
  <si>
    <t>Beta Prep</t>
  </si>
  <si>
    <t>AMI</t>
  </si>
  <si>
    <t>RB</t>
  </si>
  <si>
    <t>49 Boxes/2 Pallets</t>
  </si>
  <si>
    <t>LTL</t>
  </si>
  <si>
    <t>-</t>
  </si>
  <si>
    <t>11767,NY US</t>
  </si>
  <si>
    <t>$858.41</t>
  </si>
  <si>
    <t>$385.56</t>
  </si>
  <si>
    <t xml:space="preserve">X000662795 </t>
  </si>
  <si>
    <t>XLP</t>
  </si>
  <si>
    <t>Cooper Machine</t>
  </si>
  <si>
    <t>DAP</t>
  </si>
  <si>
    <t>CH Robinson</t>
  </si>
  <si>
    <t>128 Boxes/2 Pallets</t>
  </si>
  <si>
    <t>ABF</t>
  </si>
  <si>
    <t>79765,TX US</t>
  </si>
  <si>
    <t>$800</t>
  </si>
  <si>
    <t>$910.89</t>
  </si>
  <si>
    <t>074-55254220</t>
  </si>
  <si>
    <t xml:space="preserve">X000662781 </t>
  </si>
  <si>
    <t>AF-0006</t>
  </si>
  <si>
    <t>Pioneer</t>
  </si>
  <si>
    <t xml:space="preserve">Amazon </t>
  </si>
  <si>
    <t>WC</t>
  </si>
  <si>
    <t>100 Boxes/4 Pallets</t>
  </si>
  <si>
    <t>TForce</t>
  </si>
  <si>
    <t>Echo Logistics</t>
  </si>
  <si>
    <t>34986,FL US</t>
  </si>
  <si>
    <t>$980</t>
  </si>
  <si>
    <t>$1126.69</t>
  </si>
  <si>
    <t xml:space="preserve">X000664578 </t>
  </si>
  <si>
    <t>Amit Kumar</t>
  </si>
  <si>
    <t>105 Boxes/5 Pallets</t>
  </si>
  <si>
    <t>UPS</t>
  </si>
  <si>
    <t>46809,IN US</t>
  </si>
  <si>
    <t>$1,839.93</t>
  </si>
  <si>
    <t>125-17495914</t>
  </si>
  <si>
    <t>X000669203</t>
  </si>
  <si>
    <t>BA-256</t>
  </si>
  <si>
    <t>Nikita Gupta</t>
  </si>
  <si>
    <t>ONETAP RETAIL</t>
  </si>
  <si>
    <t>73 Boxes/2 Pallets</t>
  </si>
  <si>
    <t>FTL</t>
  </si>
  <si>
    <t xml:space="preserve">RBJ </t>
  </si>
  <si>
    <t>Veda Logistics</t>
  </si>
  <si>
    <t>17225,PA US</t>
  </si>
  <si>
    <t>$1095</t>
  </si>
  <si>
    <t>$223.78</t>
  </si>
  <si>
    <t>X000669056</t>
  </si>
  <si>
    <t xml:space="preserve">Relytek </t>
  </si>
  <si>
    <t>6 Boxes</t>
  </si>
  <si>
    <t>15672,PA US</t>
  </si>
  <si>
    <t>$110</t>
  </si>
  <si>
    <t>$405</t>
  </si>
  <si>
    <t>X000665576</t>
  </si>
  <si>
    <t>SINGAL INTERNATIONAL</t>
  </si>
  <si>
    <t>16 Boxes/1 Pallet</t>
  </si>
  <si>
    <t>AF</t>
  </si>
  <si>
    <t>Amazon</t>
  </si>
  <si>
    <t>$150</t>
  </si>
  <si>
    <t>$70.19</t>
  </si>
  <si>
    <t>X000667262</t>
  </si>
  <si>
    <t>Royal Bee</t>
  </si>
  <si>
    <t>33032,FL US</t>
  </si>
  <si>
    <t>$71.24</t>
  </si>
  <si>
    <t>X000667120</t>
  </si>
  <si>
    <t>Walmart</t>
  </si>
  <si>
    <t>56 Boxes/2 Pallets</t>
  </si>
  <si>
    <t>33897,FL US</t>
  </si>
  <si>
    <t>$850</t>
  </si>
  <si>
    <t>$781.91</t>
  </si>
  <si>
    <t>X000668925</t>
  </si>
  <si>
    <t>ANS</t>
  </si>
  <si>
    <t>Pratima Kumar</t>
  </si>
  <si>
    <t>3 Boxes/1 Pallets</t>
  </si>
  <si>
    <t>94583,CA US</t>
  </si>
  <si>
    <t>$205</t>
  </si>
  <si>
    <t>$589.57</t>
  </si>
  <si>
    <t>932-77370451</t>
  </si>
  <si>
    <t>X000669596</t>
  </si>
  <si>
    <t>VS-301</t>
  </si>
  <si>
    <t>JAMSTICKS INDIA PRIVATE LIMITED</t>
  </si>
  <si>
    <t>Power SCM</t>
  </si>
  <si>
    <t>84065,UT US</t>
  </si>
  <si>
    <t>$183.05</t>
  </si>
  <si>
    <t>X000665536</t>
  </si>
  <si>
    <t>16 Boxes</t>
  </si>
  <si>
    <t>X000670495</t>
  </si>
  <si>
    <t>TERUPATI BALAJI EXPO</t>
  </si>
  <si>
    <t>Bhupinder Singh</t>
  </si>
  <si>
    <t>4 Boxes</t>
  </si>
  <si>
    <t>94928,CA US</t>
  </si>
  <si>
    <t>X000671917</t>
  </si>
  <si>
    <t>XLP ENGINEERS PVT LTD</t>
  </si>
  <si>
    <t>S.B International</t>
  </si>
  <si>
    <t>28 Boxes/1 Pallet</t>
  </si>
  <si>
    <t>Central Transport</t>
  </si>
  <si>
    <t>Trojan Horse</t>
  </si>
  <si>
    <t>37211,TN US</t>
  </si>
  <si>
    <t>$266</t>
  </si>
  <si>
    <t>$371</t>
  </si>
  <si>
    <t>X000671678</t>
  </si>
  <si>
    <t>AMZ MART</t>
  </si>
  <si>
    <t>8 Boxes/1 Pallet</t>
  </si>
  <si>
    <t>$408</t>
  </si>
  <si>
    <t>$210.11</t>
  </si>
  <si>
    <t>X000672476</t>
  </si>
  <si>
    <t>GEORGIAN CRAFTS</t>
  </si>
  <si>
    <t>Nature of Marble</t>
  </si>
  <si>
    <t>15 Boxes/2 Pallets</t>
  </si>
  <si>
    <t>Forward Air</t>
  </si>
  <si>
    <t>33445,FL US</t>
  </si>
  <si>
    <t>$411</t>
  </si>
  <si>
    <t>$888</t>
  </si>
  <si>
    <t>074-55254301</t>
  </si>
  <si>
    <t>X000672818</t>
  </si>
  <si>
    <t>KL-872</t>
  </si>
  <si>
    <t>RV INTERNATIONAL</t>
  </si>
  <si>
    <t>61 Boxes</t>
  </si>
  <si>
    <t>29330,SC US</t>
  </si>
  <si>
    <t>$608</t>
  </si>
  <si>
    <t>$637</t>
  </si>
  <si>
    <t>X000665449</t>
  </si>
  <si>
    <t>$117.78</t>
  </si>
  <si>
    <t>X000673403</t>
  </si>
  <si>
    <t>PIONEER SERVICE PROVIDER</t>
  </si>
  <si>
    <t>66 Boxes</t>
  </si>
  <si>
    <t>$595</t>
  </si>
  <si>
    <t>$500.50</t>
  </si>
  <si>
    <t>X000674307</t>
  </si>
  <si>
    <t>AVADH CHIKAN CRAFT</t>
  </si>
  <si>
    <t>8 Boxes</t>
  </si>
  <si>
    <t>X000675302</t>
  </si>
  <si>
    <t>FASHION POINT</t>
  </si>
  <si>
    <t>Lucria Consult LLC</t>
  </si>
  <si>
    <t>9 Boxes</t>
  </si>
  <si>
    <t>06074,CT US</t>
  </si>
  <si>
    <t>125-17496043</t>
  </si>
  <si>
    <t>X000676033</t>
  </si>
  <si>
    <t>BA-117</t>
  </si>
  <si>
    <t>P-Tal</t>
  </si>
  <si>
    <t>Karshini P-Tal</t>
  </si>
  <si>
    <t>1C</t>
  </si>
  <si>
    <t>215 Boxes</t>
  </si>
  <si>
    <t>RMC</t>
  </si>
  <si>
    <t>RMC Trucking</t>
  </si>
  <si>
    <t>08817,NJ US</t>
  </si>
  <si>
    <t>$680</t>
  </si>
  <si>
    <t>932-77370845</t>
  </si>
  <si>
    <t>X000672056</t>
  </si>
  <si>
    <t xml:space="preserve">TURRITOPSIS </t>
  </si>
  <si>
    <t>DDP</t>
  </si>
  <si>
    <t>26 Boxes</t>
  </si>
  <si>
    <t>$366</t>
  </si>
  <si>
    <t>X000678536</t>
  </si>
  <si>
    <t>Adret Retail Pvt Ltd</t>
  </si>
  <si>
    <t xml:space="preserve">Walmart </t>
  </si>
  <si>
    <t>Regal</t>
  </si>
  <si>
    <t>12 Boxes</t>
  </si>
  <si>
    <t>30349,GA US</t>
  </si>
  <si>
    <t>$120</t>
  </si>
  <si>
    <t>X000678557</t>
  </si>
  <si>
    <t>AASHIRWAD GARMENTS</t>
  </si>
  <si>
    <t>7 Boxes</t>
  </si>
  <si>
    <t>18031,PA US</t>
  </si>
  <si>
    <t>$135</t>
  </si>
  <si>
    <t>$115</t>
  </si>
  <si>
    <t>X000678212</t>
  </si>
  <si>
    <t xml:space="preserve"> MOKSHAMULTIVERSE PVT LTD</t>
  </si>
  <si>
    <t>17 Boxes</t>
  </si>
  <si>
    <t>18447,PA US</t>
  </si>
  <si>
    <t>$137</t>
  </si>
  <si>
    <t>X000681029</t>
  </si>
  <si>
    <t xml:space="preserve"> REDPLUM PRIVATE LIMITED</t>
  </si>
  <si>
    <t>Estes</t>
  </si>
  <si>
    <t>$315</t>
  </si>
  <si>
    <t>X000682488</t>
  </si>
  <si>
    <t>ARNAV AGENCIES</t>
  </si>
  <si>
    <t>11 Boxes</t>
  </si>
  <si>
    <t xml:space="preserve">Amazon Freight </t>
  </si>
  <si>
    <t xml:space="preserve">18447,PA US
</t>
  </si>
  <si>
    <t>$66</t>
  </si>
  <si>
    <t>X000682677</t>
  </si>
  <si>
    <t>Jai Govindam</t>
  </si>
  <si>
    <t>5 Boxes</t>
  </si>
  <si>
    <t>21740,MD US</t>
  </si>
  <si>
    <t>X000682816</t>
  </si>
  <si>
    <t>15 Boxes</t>
  </si>
  <si>
    <t>$176</t>
  </si>
  <si>
    <t>X000682746</t>
  </si>
  <si>
    <t>Grownhome arts</t>
  </si>
  <si>
    <t>$141</t>
  </si>
  <si>
    <t>125 -17478952</t>
  </si>
  <si>
    <t>X000687343</t>
  </si>
  <si>
    <t>63 Boxes</t>
  </si>
  <si>
    <t>33032 ,FL US</t>
  </si>
  <si>
    <t>$437</t>
  </si>
  <si>
    <t>$369.35</t>
  </si>
  <si>
    <t>X000685516</t>
  </si>
  <si>
    <t>Blue Tea</t>
  </si>
  <si>
    <t>08067,NJ US</t>
  </si>
  <si>
    <t>X000685781</t>
  </si>
  <si>
    <t xml:space="preserve">Dee Dee Export </t>
  </si>
  <si>
    <t>19 Boxes</t>
  </si>
  <si>
    <t>$189</t>
  </si>
  <si>
    <t>X000685880</t>
  </si>
  <si>
    <t xml:space="preserve">Thakur Export </t>
  </si>
  <si>
    <t>THAKUR EXPORTS</t>
  </si>
  <si>
    <t>31 Boxes</t>
  </si>
  <si>
    <t>95991,CA US</t>
  </si>
  <si>
    <t>X000688655</t>
  </si>
  <si>
    <t xml:space="preserve">Traditional Jaipur </t>
  </si>
  <si>
    <t>32206,FL US</t>
  </si>
  <si>
    <t>$105</t>
  </si>
  <si>
    <t>X000688706</t>
  </si>
  <si>
    <t>ROYAL ARTISANS</t>
  </si>
  <si>
    <t>$221</t>
  </si>
  <si>
    <t>$120.58</t>
  </si>
  <si>
    <t>X000687944</t>
  </si>
  <si>
    <t>Zenith</t>
  </si>
  <si>
    <t>34986 ,FL US</t>
  </si>
  <si>
    <t xml:space="preserve">X000693350 </t>
  </si>
  <si>
    <t>47 Boxes</t>
  </si>
  <si>
    <t>$424</t>
  </si>
  <si>
    <t>$600</t>
  </si>
  <si>
    <t>057-96262165</t>
  </si>
  <si>
    <t>XIN00JFKCG</t>
  </si>
  <si>
    <t xml:space="preserve">Scimplify </t>
  </si>
  <si>
    <t>Nuegenic Labs</t>
  </si>
  <si>
    <t>9 Pallets</t>
  </si>
  <si>
    <t>Veda + Fivestar</t>
  </si>
  <si>
    <t>07036, NC USA</t>
  </si>
  <si>
    <t>$223</t>
  </si>
  <si>
    <t>125 -17478974</t>
  </si>
  <si>
    <t>X000693185</t>
  </si>
  <si>
    <t>Mayur Exports</t>
  </si>
  <si>
    <t>42 Boxes</t>
  </si>
  <si>
    <t>$673</t>
  </si>
  <si>
    <t>125-17478974</t>
  </si>
  <si>
    <t>X000685514</t>
  </si>
  <si>
    <t>Amit Shree Ram</t>
  </si>
  <si>
    <t>Homeda Organic LLC,</t>
  </si>
  <si>
    <t>100 Boxes</t>
  </si>
  <si>
    <t>X000694615</t>
  </si>
  <si>
    <t>Aramex</t>
  </si>
  <si>
    <t>87031,NM US</t>
  </si>
  <si>
    <t>X000694621</t>
  </si>
  <si>
    <t>X000694625</t>
  </si>
  <si>
    <t>932-77380004</t>
  </si>
  <si>
    <t>X000693586</t>
  </si>
  <si>
    <t xml:space="preserve">MARTIN WELLS INDUSTRIES LLC,
</t>
  </si>
  <si>
    <t>Fully Loaded Logistics</t>
  </si>
  <si>
    <t xml:space="preserve">8903101,NV US
</t>
  </si>
  <si>
    <t>$820</t>
  </si>
  <si>
    <t>$500</t>
  </si>
  <si>
    <t>098-30288834</t>
  </si>
  <si>
    <t>X000695294</t>
  </si>
  <si>
    <t>K G EXPORT</t>
  </si>
  <si>
    <t>30184,GA US</t>
  </si>
  <si>
    <t>$202</t>
  </si>
  <si>
    <t>X000696331</t>
  </si>
  <si>
    <t xml:space="preserve">MOKSHAMULTIVERSE </t>
  </si>
  <si>
    <t>LTL, non-Amazon Frieght 
13D transit in AF</t>
  </si>
  <si>
    <t>$305</t>
  </si>
  <si>
    <t>X000696157</t>
  </si>
  <si>
    <t>LuckShree Traders</t>
  </si>
  <si>
    <t xml:space="preserve">17057,PA US
</t>
  </si>
  <si>
    <t>X000698335</t>
  </si>
  <si>
    <t>100 Million Designs</t>
  </si>
  <si>
    <t>10 Boxes</t>
  </si>
  <si>
    <t>37040,TN US</t>
  </si>
  <si>
    <t>X000698282</t>
  </si>
  <si>
    <t xml:space="preserve">15672,PA US
</t>
  </si>
  <si>
    <t>X000700208</t>
  </si>
  <si>
    <t>ROYAL MILLS</t>
  </si>
  <si>
    <t>25 Boxes</t>
  </si>
  <si>
    <t>LTL, non-Amazon Frieght 
14D transit in AF</t>
  </si>
  <si>
    <t>$375</t>
  </si>
  <si>
    <t>X000700926</t>
  </si>
  <si>
    <t>Shri Bhumia Overseas</t>
  </si>
  <si>
    <t>DFW Crystal Tracy Jones</t>
  </si>
  <si>
    <t>DDU</t>
  </si>
  <si>
    <t>75023,TX US</t>
  </si>
  <si>
    <t>$286</t>
  </si>
  <si>
    <t>X000700678</t>
  </si>
  <si>
    <t>KARSHINI ARTYSUN PRIVATE LIMITED</t>
  </si>
  <si>
    <t>Karshini P-TAL Inc</t>
  </si>
  <si>
    <t>170 Boxes</t>
  </si>
  <si>
    <t>FTL / LTL</t>
  </si>
  <si>
    <t xml:space="preserve">08817,NJ US
</t>
  </si>
  <si>
    <t>$1096</t>
  </si>
  <si>
    <t>057-58671896</t>
  </si>
  <si>
    <t>X000697253</t>
  </si>
  <si>
    <t>Scimplify</t>
  </si>
  <si>
    <t>10 Pallets</t>
  </si>
  <si>
    <t>R &amp; E Transfer LLC</t>
  </si>
  <si>
    <t>07036,NJ US</t>
  </si>
  <si>
    <t>$877</t>
  </si>
  <si>
    <t>157-43859594</t>
  </si>
  <si>
    <t>X000700682</t>
  </si>
  <si>
    <t>1A COMMERCE</t>
  </si>
  <si>
    <t xml:space="preserve">$119.62 </t>
  </si>
  <si>
    <t>X000703914</t>
  </si>
  <si>
    <t>Grownhome</t>
  </si>
  <si>
    <t>Amazon Freight ,LTL
3D transit</t>
  </si>
  <si>
    <t>$187</t>
  </si>
  <si>
    <t>X000705425</t>
  </si>
  <si>
    <t>AASHIRWAD</t>
  </si>
  <si>
    <t>18 Boxes</t>
  </si>
  <si>
    <t>LTL, non-Amazon Freight 
11D transit</t>
  </si>
  <si>
    <t xml:space="preserve">34986,FL US
</t>
  </si>
  <si>
    <t>$343</t>
  </si>
  <si>
    <t>X000705380</t>
  </si>
  <si>
    <t>GEORGIAN</t>
  </si>
  <si>
    <t>14 Boxes</t>
  </si>
  <si>
    <t>LTL, non-Amazon Freight 
Non-Amazon location</t>
  </si>
  <si>
    <t>$425</t>
  </si>
  <si>
    <t>X000705554</t>
  </si>
  <si>
    <t>Relytek</t>
  </si>
  <si>
    <t>$112</t>
  </si>
  <si>
    <t>X000705091</t>
  </si>
  <si>
    <t>AVADH CHIKAN</t>
  </si>
  <si>
    <t xml:space="preserve">18447,PA US
</t>
  </si>
  <si>
    <t>$130</t>
  </si>
  <si>
    <t>X000705777</t>
  </si>
  <si>
    <t>ROYAL BEE</t>
  </si>
  <si>
    <t xml:space="preserve">33032,FL US
</t>
  </si>
  <si>
    <t>$267</t>
  </si>
  <si>
    <t>X000706135</t>
  </si>
  <si>
    <t>Sarahna Industries Private Limited</t>
  </si>
  <si>
    <t>SmokeHouse Distribution</t>
  </si>
  <si>
    <t>45 Boxes</t>
  </si>
  <si>
    <t xml:space="preserve">48390,MI US
</t>
  </si>
  <si>
    <t>$1064</t>
  </si>
  <si>
    <t>807-45722460</t>
  </si>
  <si>
    <t>X000695013</t>
  </si>
  <si>
    <t>Eight Roots</t>
  </si>
  <si>
    <t>X000708981</t>
  </si>
  <si>
    <t>PADA 91 VENTURES PRIVATE LIMITED</t>
  </si>
  <si>
    <t>MAWB no pending</t>
  </si>
  <si>
    <t>X000705097</t>
  </si>
  <si>
    <t>THE COTTON VILLA</t>
  </si>
  <si>
    <t>$167</t>
  </si>
  <si>
    <t>X000705605</t>
  </si>
  <si>
    <t>SHANAYA FASHION</t>
  </si>
  <si>
    <t>$140</t>
  </si>
  <si>
    <t>X000695047</t>
  </si>
  <si>
    <t>Mensa Brand Technologies Private Limited</t>
  </si>
  <si>
    <t>20 Boxes</t>
  </si>
  <si>
    <t>Amazon Freight ,LTL
4D transit</t>
  </si>
  <si>
    <t>$180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</si>
</sst>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m-yyyy"/>
    <numFmt numFmtId="165" formatCode="dd mmm hh:mm"/>
    <numFmt numFmtId="166" formatCode="d-m-yyyy"/>
    <numFmt numFmtId="167" formatCode="dd-mm-yyyy"/>
    <numFmt numFmtId="168" formatCode="dd-mm-yyyy hh:mm"/>
    <numFmt numFmtId="169" formatCode="d mmm hh:mm"/>
    <numFmt numFmtId="170" formatCode="d mmm hh:mm:ss"/>
    <numFmt numFmtId="171" formatCode="d mmm"/>
  </numFmts>
  <fonts count="4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2" fontId="1" numFmtId="165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2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horizontal="center" vertical="bottom"/>
    </xf>
    <xf borderId="1" fillId="0" fontId="3" numFmtId="167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8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8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69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" fillId="0" fontId="3" numFmtId="170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4" fontId="3" numFmtId="170" xfId="0" applyAlignment="1" applyBorder="1" applyFont="1" applyNumberFormat="1">
      <alignment horizontal="center" vertical="bottom"/>
    </xf>
    <xf borderId="1" fillId="4" fontId="3" numFmtId="171" xfId="0" applyAlignment="1" applyBorder="1" applyFont="1" applyNumberFormat="1">
      <alignment vertical="bottom"/>
    </xf>
    <xf borderId="1" fillId="4" fontId="2" numFmtId="167" xfId="0" applyAlignment="1" applyBorder="1" applyFont="1" applyNumberFormat="1">
      <alignment horizontal="center" vertical="bottom"/>
    </xf>
    <xf borderId="1" fillId="0" fontId="3" numFmtId="171" xfId="0" applyAlignment="1" applyBorder="1" applyFont="1" applyNumberFormat="1">
      <alignment vertical="bottom"/>
    </xf>
    <xf borderId="1" fillId="5" fontId="3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11</v>
      </c>
      <c r="N1" s="3" t="s">
        <v>12</v>
      </c>
      <c r="O1" s="3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>
      <c r="A2" s="4" t="s">
        <v>26</v>
      </c>
      <c r="B2" s="4" t="s">
        <v>27</v>
      </c>
      <c r="C2" s="4">
        <v>975.1</v>
      </c>
      <c r="D2" s="4" t="s">
        <v>28</v>
      </c>
      <c r="E2" s="4" t="s">
        <v>29</v>
      </c>
      <c r="F2" s="4" t="s">
        <v>30</v>
      </c>
      <c r="G2" s="5"/>
      <c r="H2" s="4" t="s">
        <v>31</v>
      </c>
      <c r="I2" s="6" t="s">
        <v>32</v>
      </c>
      <c r="J2" s="7"/>
      <c r="K2" s="8"/>
      <c r="L2" s="8"/>
      <c r="M2" s="8"/>
      <c r="N2" s="5"/>
      <c r="O2" s="5"/>
      <c r="P2" s="5"/>
      <c r="Q2" s="4" t="s">
        <v>33</v>
      </c>
      <c r="R2" s="4" t="s">
        <v>34</v>
      </c>
      <c r="S2" s="4" t="s">
        <v>35</v>
      </c>
      <c r="T2" s="4" t="s">
        <v>31</v>
      </c>
      <c r="U2" s="4" t="s">
        <v>36</v>
      </c>
      <c r="V2" s="4" t="s">
        <v>37</v>
      </c>
      <c r="W2" s="4" t="s">
        <v>38</v>
      </c>
      <c r="X2" s="4" t="s">
        <v>35</v>
      </c>
      <c r="Y2" s="9">
        <v>46035.0</v>
      </c>
      <c r="Z2" s="9">
        <v>46035.0</v>
      </c>
      <c r="AA2" s="9">
        <v>46035.0</v>
      </c>
    </row>
    <row r="3">
      <c r="A3" s="5"/>
      <c r="B3" s="4" t="s">
        <v>39</v>
      </c>
      <c r="C3" s="4">
        <v>1633.0</v>
      </c>
      <c r="D3" s="4" t="s">
        <v>28</v>
      </c>
      <c r="E3" s="4" t="s">
        <v>40</v>
      </c>
      <c r="F3" s="4" t="s">
        <v>41</v>
      </c>
      <c r="G3" s="4" t="s">
        <v>42</v>
      </c>
      <c r="H3" s="7"/>
      <c r="I3" s="6" t="s">
        <v>43</v>
      </c>
      <c r="J3" s="7"/>
      <c r="K3" s="8"/>
      <c r="L3" s="8"/>
      <c r="M3" s="8"/>
      <c r="N3" s="5"/>
      <c r="O3" s="5"/>
      <c r="P3" s="5"/>
      <c r="Q3" s="4" t="s">
        <v>44</v>
      </c>
      <c r="R3" s="4" t="s">
        <v>34</v>
      </c>
      <c r="S3" s="4" t="s">
        <v>45</v>
      </c>
      <c r="T3" s="4" t="s">
        <v>31</v>
      </c>
      <c r="U3" s="4" t="s">
        <v>46</v>
      </c>
      <c r="V3" s="4" t="s">
        <v>47</v>
      </c>
      <c r="W3" s="4" t="s">
        <v>48</v>
      </c>
      <c r="X3" s="4">
        <v>2.18999075E8</v>
      </c>
      <c r="Y3" s="9">
        <v>46035.0</v>
      </c>
      <c r="Z3" s="9">
        <v>46042.0</v>
      </c>
      <c r="AA3" s="9">
        <v>46042.0</v>
      </c>
    </row>
    <row r="4">
      <c r="A4" s="5"/>
      <c r="B4" s="5"/>
      <c r="C4" s="5"/>
      <c r="D4" s="5"/>
      <c r="E4" s="5"/>
      <c r="F4" s="5"/>
      <c r="G4" s="5"/>
      <c r="H4" s="7"/>
      <c r="I4" s="7"/>
      <c r="J4" s="7"/>
      <c r="K4" s="8"/>
      <c r="L4" s="8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10"/>
      <c r="Z4" s="10"/>
      <c r="AA4" s="10"/>
    </row>
    <row r="5">
      <c r="A5" s="4" t="s">
        <v>49</v>
      </c>
      <c r="B5" s="4" t="s">
        <v>50</v>
      </c>
      <c r="C5" s="4">
        <v>1100.0</v>
      </c>
      <c r="D5" s="4" t="s">
        <v>51</v>
      </c>
      <c r="E5" s="4" t="s">
        <v>52</v>
      </c>
      <c r="F5" s="4" t="s">
        <v>53</v>
      </c>
      <c r="G5" s="5"/>
      <c r="H5" s="4" t="s">
        <v>31</v>
      </c>
      <c r="I5" s="6" t="s">
        <v>54</v>
      </c>
      <c r="J5" s="7"/>
      <c r="K5" s="8"/>
      <c r="L5" s="8"/>
      <c r="M5" s="8"/>
      <c r="N5" s="5"/>
      <c r="O5" s="5"/>
      <c r="P5" s="5"/>
      <c r="Q5" s="4" t="s">
        <v>55</v>
      </c>
      <c r="R5" s="4" t="s">
        <v>34</v>
      </c>
      <c r="S5" s="4" t="s">
        <v>56</v>
      </c>
      <c r="T5" s="4" t="s">
        <v>57</v>
      </c>
      <c r="U5" s="4" t="s">
        <v>58</v>
      </c>
      <c r="V5" s="4" t="s">
        <v>59</v>
      </c>
      <c r="W5" s="4" t="s">
        <v>60</v>
      </c>
      <c r="X5" s="4">
        <v>4.94837033E8</v>
      </c>
      <c r="Y5" s="9">
        <v>46035.0</v>
      </c>
      <c r="Z5" s="9">
        <v>46042.0</v>
      </c>
      <c r="AA5" s="9">
        <v>46043.0</v>
      </c>
    </row>
    <row r="6">
      <c r="A6" s="5"/>
      <c r="B6" s="4" t="s">
        <v>61</v>
      </c>
      <c r="C6" s="4">
        <v>2186.0</v>
      </c>
      <c r="D6" s="4" t="s">
        <v>51</v>
      </c>
      <c r="E6" s="4" t="s">
        <v>62</v>
      </c>
      <c r="F6" s="4" t="s">
        <v>53</v>
      </c>
      <c r="G6" s="5"/>
      <c r="H6" s="7"/>
      <c r="I6" s="6" t="s">
        <v>54</v>
      </c>
      <c r="J6" s="7"/>
      <c r="K6" s="8"/>
      <c r="L6" s="8"/>
      <c r="M6" s="8"/>
      <c r="N6" s="5"/>
      <c r="O6" s="5"/>
      <c r="P6" s="5"/>
      <c r="Q6" s="4" t="s">
        <v>63</v>
      </c>
      <c r="R6" s="4" t="s">
        <v>64</v>
      </c>
      <c r="S6" s="4" t="s">
        <v>64</v>
      </c>
      <c r="T6" s="4" t="s">
        <v>35</v>
      </c>
      <c r="U6" s="4" t="s">
        <v>65</v>
      </c>
      <c r="V6" s="4" t="s">
        <v>66</v>
      </c>
      <c r="W6" s="4" t="s">
        <v>35</v>
      </c>
      <c r="X6" s="11" t="s">
        <v>35</v>
      </c>
      <c r="Y6" s="9">
        <v>46037.0</v>
      </c>
      <c r="Z6" s="9">
        <v>46042.0</v>
      </c>
      <c r="AA6" s="9">
        <v>46048.0</v>
      </c>
    </row>
    <row r="7">
      <c r="A7" s="5"/>
      <c r="B7" s="5"/>
      <c r="C7" s="5"/>
      <c r="D7" s="5"/>
      <c r="E7" s="5"/>
      <c r="F7" s="5"/>
      <c r="G7" s="5"/>
      <c r="H7" s="5"/>
      <c r="I7" s="5"/>
      <c r="J7" s="7"/>
      <c r="K7" s="8"/>
      <c r="L7" s="8"/>
      <c r="M7" s="12"/>
      <c r="N7" s="10"/>
      <c r="O7" s="10"/>
      <c r="P7" s="10"/>
      <c r="Q7" s="5"/>
      <c r="R7" s="5"/>
      <c r="S7" s="5"/>
      <c r="T7" s="5"/>
      <c r="U7" s="5"/>
      <c r="V7" s="5"/>
      <c r="W7" s="5"/>
      <c r="X7" s="5"/>
      <c r="Y7" s="10"/>
      <c r="Z7" s="10"/>
      <c r="AA7" s="5"/>
    </row>
    <row r="8">
      <c r="A8" s="4" t="s">
        <v>67</v>
      </c>
      <c r="B8" s="4" t="s">
        <v>68</v>
      </c>
      <c r="C8" s="4">
        <v>1240.0</v>
      </c>
      <c r="D8" s="4" t="s">
        <v>69</v>
      </c>
      <c r="E8" s="4" t="s">
        <v>70</v>
      </c>
      <c r="F8" s="4" t="s">
        <v>71</v>
      </c>
      <c r="G8" s="5"/>
      <c r="H8" s="4" t="s">
        <v>31</v>
      </c>
      <c r="I8" s="4" t="s">
        <v>32</v>
      </c>
      <c r="J8" s="6">
        <v>46034.0</v>
      </c>
      <c r="K8" s="13">
        <v>46036.0</v>
      </c>
      <c r="L8" s="13">
        <v>46036.0</v>
      </c>
      <c r="M8" s="14">
        <v>46037.8875</v>
      </c>
      <c r="N8" s="10"/>
      <c r="O8" s="10"/>
      <c r="P8" s="9">
        <v>46038.0</v>
      </c>
      <c r="Q8" s="4" t="s">
        <v>72</v>
      </c>
      <c r="R8" s="4" t="s">
        <v>73</v>
      </c>
      <c r="S8" s="4" t="s">
        <v>74</v>
      </c>
      <c r="T8" s="4" t="s">
        <v>75</v>
      </c>
      <c r="U8" s="4" t="s">
        <v>76</v>
      </c>
      <c r="V8" s="4" t="s">
        <v>77</v>
      </c>
      <c r="W8" s="4" t="s">
        <v>78</v>
      </c>
      <c r="X8" s="4">
        <v>1.072877135E9</v>
      </c>
      <c r="Y8" s="9">
        <v>46055.0</v>
      </c>
      <c r="Z8" s="9">
        <v>46055.0</v>
      </c>
      <c r="AA8" s="9">
        <v>46055.0</v>
      </c>
    </row>
    <row r="9">
      <c r="A9" s="5"/>
      <c r="B9" s="4" t="s">
        <v>79</v>
      </c>
      <c r="C9" s="4">
        <v>67.24</v>
      </c>
      <c r="D9" s="4" t="s">
        <v>69</v>
      </c>
      <c r="E9" s="4" t="s">
        <v>80</v>
      </c>
      <c r="F9" s="4" t="s">
        <v>53</v>
      </c>
      <c r="G9" s="5"/>
      <c r="H9" s="7"/>
      <c r="I9" s="6" t="s">
        <v>32</v>
      </c>
      <c r="J9" s="6">
        <v>46034.0</v>
      </c>
      <c r="K9" s="13">
        <v>46036.0</v>
      </c>
      <c r="L9" s="14">
        <v>46036.268055555556</v>
      </c>
      <c r="M9" s="14">
        <v>46037.8875</v>
      </c>
      <c r="N9" s="10"/>
      <c r="O9" s="10"/>
      <c r="P9" s="9">
        <v>46038.0</v>
      </c>
      <c r="Q9" s="4" t="s">
        <v>81</v>
      </c>
      <c r="R9" s="4" t="s">
        <v>64</v>
      </c>
      <c r="S9" s="4" t="s">
        <v>64</v>
      </c>
      <c r="T9" s="4" t="s">
        <v>35</v>
      </c>
      <c r="U9" s="4" t="s">
        <v>82</v>
      </c>
      <c r="V9" s="4" t="s">
        <v>83</v>
      </c>
      <c r="W9" s="4" t="s">
        <v>84</v>
      </c>
      <c r="X9" s="11" t="s">
        <v>35</v>
      </c>
      <c r="Y9" s="9">
        <v>46042.0</v>
      </c>
      <c r="Z9" s="9">
        <v>46044.0</v>
      </c>
      <c r="AA9" s="9">
        <v>46044.0</v>
      </c>
    </row>
    <row r="10">
      <c r="A10" s="5"/>
      <c r="B10" s="4" t="s">
        <v>85</v>
      </c>
      <c r="C10" s="4">
        <v>248.0</v>
      </c>
      <c r="D10" s="4" t="s">
        <v>69</v>
      </c>
      <c r="E10" s="4" t="s">
        <v>86</v>
      </c>
      <c r="F10" s="4" t="s">
        <v>53</v>
      </c>
      <c r="G10" s="5"/>
      <c r="H10" s="7"/>
      <c r="I10" s="6" t="s">
        <v>54</v>
      </c>
      <c r="J10" s="6">
        <v>46034.0</v>
      </c>
      <c r="K10" s="13">
        <v>46036.0</v>
      </c>
      <c r="L10" s="14">
        <v>46036.268055555556</v>
      </c>
      <c r="M10" s="14">
        <v>46037.8875</v>
      </c>
      <c r="N10" s="10"/>
      <c r="O10" s="10"/>
      <c r="P10" s="9">
        <v>46038.0</v>
      </c>
      <c r="Q10" s="4" t="s">
        <v>87</v>
      </c>
      <c r="R10" s="4" t="s">
        <v>34</v>
      </c>
      <c r="S10" s="4" t="s">
        <v>88</v>
      </c>
      <c r="T10" s="4" t="s">
        <v>89</v>
      </c>
      <c r="U10" s="4" t="s">
        <v>76</v>
      </c>
      <c r="V10" s="4" t="s">
        <v>90</v>
      </c>
      <c r="W10" s="4" t="s">
        <v>91</v>
      </c>
      <c r="X10" s="4">
        <v>1.073199125E9</v>
      </c>
      <c r="Y10" s="9">
        <v>46049.0</v>
      </c>
      <c r="Z10" s="9">
        <v>46056.0</v>
      </c>
      <c r="AA10" s="9">
        <v>46054.0</v>
      </c>
    </row>
    <row r="11">
      <c r="A11" s="5"/>
      <c r="B11" s="4" t="s">
        <v>92</v>
      </c>
      <c r="C11" s="4">
        <v>81.0</v>
      </c>
      <c r="D11" s="4" t="s">
        <v>69</v>
      </c>
      <c r="E11" s="4" t="s">
        <v>93</v>
      </c>
      <c r="F11" s="4" t="s">
        <v>53</v>
      </c>
      <c r="G11" s="5"/>
      <c r="H11" s="7"/>
      <c r="I11" s="6" t="s">
        <v>54</v>
      </c>
      <c r="J11" s="6">
        <v>46034.0</v>
      </c>
      <c r="K11" s="13">
        <v>46036.0</v>
      </c>
      <c r="L11" s="14">
        <v>46036.268055555556</v>
      </c>
      <c r="M11" s="14">
        <v>46037.8875</v>
      </c>
      <c r="N11" s="10"/>
      <c r="O11" s="10"/>
      <c r="P11" s="9">
        <v>46038.0</v>
      </c>
      <c r="Q11" s="4" t="s">
        <v>81</v>
      </c>
      <c r="R11" s="4" t="s">
        <v>64</v>
      </c>
      <c r="S11" s="4" t="s">
        <v>64</v>
      </c>
      <c r="T11" s="4" t="s">
        <v>35</v>
      </c>
      <c r="U11" s="4" t="s">
        <v>94</v>
      </c>
      <c r="V11" s="4" t="s">
        <v>95</v>
      </c>
      <c r="W11" s="11" t="s">
        <v>35</v>
      </c>
      <c r="X11" s="11" t="s">
        <v>35</v>
      </c>
      <c r="Y11" s="9">
        <v>46043.0</v>
      </c>
      <c r="Z11" s="9">
        <v>46049.0</v>
      </c>
      <c r="AA11" s="9">
        <v>46049.0</v>
      </c>
    </row>
    <row r="12">
      <c r="A12" s="5"/>
      <c r="B12" s="4" t="s">
        <v>96</v>
      </c>
      <c r="C12" s="4">
        <v>646.0</v>
      </c>
      <c r="D12" s="4" t="s">
        <v>69</v>
      </c>
      <c r="E12" s="4" t="s">
        <v>52</v>
      </c>
      <c r="F12" s="4" t="s">
        <v>97</v>
      </c>
      <c r="G12" s="5"/>
      <c r="H12" s="7"/>
      <c r="I12" s="6" t="s">
        <v>54</v>
      </c>
      <c r="J12" s="6">
        <v>46034.0</v>
      </c>
      <c r="K12" s="13">
        <v>46036.0</v>
      </c>
      <c r="L12" s="14">
        <v>46036.268055555556</v>
      </c>
      <c r="M12" s="14">
        <v>46037.8875</v>
      </c>
      <c r="N12" s="10"/>
      <c r="O12" s="10"/>
      <c r="P12" s="9">
        <v>46038.0</v>
      </c>
      <c r="Q12" s="4" t="s">
        <v>98</v>
      </c>
      <c r="R12" s="4" t="s">
        <v>34</v>
      </c>
      <c r="S12" s="4" t="s">
        <v>56</v>
      </c>
      <c r="T12" s="4" t="s">
        <v>57</v>
      </c>
      <c r="U12" s="4" t="s">
        <v>99</v>
      </c>
      <c r="V12" s="4" t="s">
        <v>100</v>
      </c>
      <c r="W12" s="4" t="s">
        <v>101</v>
      </c>
      <c r="X12" s="4">
        <v>4.94837232E8</v>
      </c>
      <c r="Y12" s="9">
        <v>46043.0</v>
      </c>
      <c r="Z12" s="9">
        <v>46051.0</v>
      </c>
      <c r="AA12" s="9">
        <v>46060.0</v>
      </c>
    </row>
    <row r="13">
      <c r="A13" s="5"/>
      <c r="B13" s="4" t="s">
        <v>102</v>
      </c>
      <c r="C13" s="4">
        <v>214.5</v>
      </c>
      <c r="D13" s="4" t="s">
        <v>69</v>
      </c>
      <c r="E13" s="4" t="s">
        <v>103</v>
      </c>
      <c r="F13" s="4" t="s">
        <v>104</v>
      </c>
      <c r="G13" s="5"/>
      <c r="H13" s="7"/>
      <c r="I13" s="6" t="s">
        <v>54</v>
      </c>
      <c r="J13" s="6">
        <v>46034.0</v>
      </c>
      <c r="K13" s="13">
        <v>46036.0</v>
      </c>
      <c r="L13" s="14">
        <v>46036.268055555556</v>
      </c>
      <c r="M13" s="14">
        <v>46037.8875</v>
      </c>
      <c r="N13" s="10"/>
      <c r="O13" s="10"/>
      <c r="P13" s="9">
        <v>46038.0</v>
      </c>
      <c r="Q13" s="4" t="s">
        <v>105</v>
      </c>
      <c r="R13" s="4" t="s">
        <v>34</v>
      </c>
      <c r="S13" s="4" t="s">
        <v>56</v>
      </c>
      <c r="T13" s="4" t="s">
        <v>57</v>
      </c>
      <c r="U13" s="4" t="s">
        <v>106</v>
      </c>
      <c r="V13" s="4" t="s">
        <v>107</v>
      </c>
      <c r="W13" s="4" t="s">
        <v>108</v>
      </c>
      <c r="X13" s="4">
        <v>4.94837243E8</v>
      </c>
      <c r="Y13" s="9">
        <v>46043.0</v>
      </c>
      <c r="Z13" s="9">
        <v>46050.0</v>
      </c>
      <c r="AA13" s="9">
        <v>46050.0</v>
      </c>
    </row>
    <row r="14">
      <c r="A14" s="5"/>
      <c r="B14" s="5"/>
      <c r="C14" s="5"/>
      <c r="D14" s="5"/>
      <c r="E14" s="5"/>
      <c r="F14" s="5"/>
      <c r="G14" s="5"/>
      <c r="H14" s="7"/>
      <c r="I14" s="7"/>
      <c r="J14" s="7"/>
      <c r="K14" s="8"/>
      <c r="L14" s="12"/>
      <c r="M14" s="1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0"/>
      <c r="Z14" s="5"/>
      <c r="AA14" s="5"/>
    </row>
    <row r="15">
      <c r="A15" s="4" t="s">
        <v>109</v>
      </c>
      <c r="B15" s="4" t="s">
        <v>110</v>
      </c>
      <c r="C15" s="4">
        <v>209.6</v>
      </c>
      <c r="D15" s="4" t="s">
        <v>111</v>
      </c>
      <c r="E15" s="4" t="s">
        <v>112</v>
      </c>
      <c r="F15" s="4" t="s">
        <v>113</v>
      </c>
      <c r="G15" s="5"/>
      <c r="H15" s="4" t="s">
        <v>31</v>
      </c>
      <c r="I15" s="6" t="s">
        <v>32</v>
      </c>
      <c r="J15" s="6">
        <v>46038.0</v>
      </c>
      <c r="K15" s="13">
        <v>46039.0</v>
      </c>
      <c r="L15" s="14">
        <v>46043.69097222222</v>
      </c>
      <c r="M15" s="14">
        <v>46043.81458333333</v>
      </c>
      <c r="N15" s="5"/>
      <c r="O15" s="5"/>
      <c r="P15" s="9">
        <v>46046.0</v>
      </c>
      <c r="Q15" s="4" t="s">
        <v>81</v>
      </c>
      <c r="R15" s="4" t="s">
        <v>64</v>
      </c>
      <c r="S15" s="4" t="s">
        <v>64</v>
      </c>
      <c r="T15" s="11" t="s">
        <v>35</v>
      </c>
      <c r="U15" s="4" t="s">
        <v>114</v>
      </c>
      <c r="V15" s="4" t="s">
        <v>115</v>
      </c>
      <c r="W15" s="11" t="s">
        <v>35</v>
      </c>
      <c r="X15" s="11" t="s">
        <v>35</v>
      </c>
      <c r="Y15" s="9">
        <v>46049.0</v>
      </c>
      <c r="Z15" s="9">
        <v>46056.0</v>
      </c>
      <c r="AA15" s="9">
        <v>46056.0</v>
      </c>
    </row>
    <row r="16">
      <c r="A16" s="4" t="s">
        <v>109</v>
      </c>
      <c r="B16" s="4" t="s">
        <v>116</v>
      </c>
      <c r="C16" s="4">
        <v>248.0</v>
      </c>
      <c r="D16" s="4" t="s">
        <v>111</v>
      </c>
      <c r="E16" s="4" t="s">
        <v>86</v>
      </c>
      <c r="F16" s="4" t="s">
        <v>53</v>
      </c>
      <c r="G16" s="5"/>
      <c r="H16" s="7"/>
      <c r="I16" s="6" t="s">
        <v>54</v>
      </c>
      <c r="J16" s="6">
        <v>46038.0</v>
      </c>
      <c r="K16" s="13">
        <v>46039.0</v>
      </c>
      <c r="L16" s="14">
        <v>46043.69097222222</v>
      </c>
      <c r="M16" s="14">
        <v>46043.81458333333</v>
      </c>
      <c r="N16" s="5"/>
      <c r="O16" s="5"/>
      <c r="P16" s="9">
        <v>46046.0</v>
      </c>
      <c r="Q16" s="4" t="s">
        <v>117</v>
      </c>
      <c r="R16" s="4" t="s">
        <v>34</v>
      </c>
      <c r="S16" s="4" t="s">
        <v>88</v>
      </c>
      <c r="T16" s="4" t="s">
        <v>89</v>
      </c>
      <c r="U16" s="4" t="s">
        <v>76</v>
      </c>
      <c r="V16" s="4" t="s">
        <v>90</v>
      </c>
      <c r="W16" s="4" t="s">
        <v>91</v>
      </c>
      <c r="X16" s="4">
        <v>1.073199125E9</v>
      </c>
      <c r="Y16" s="9">
        <v>46050.0</v>
      </c>
      <c r="Z16" s="9">
        <v>46056.0</v>
      </c>
      <c r="AA16" s="9">
        <v>46054.0</v>
      </c>
    </row>
    <row r="17">
      <c r="A17" s="4" t="s">
        <v>109</v>
      </c>
      <c r="B17" s="4" t="s">
        <v>118</v>
      </c>
      <c r="C17" s="4">
        <v>88.0</v>
      </c>
      <c r="D17" s="4" t="s">
        <v>111</v>
      </c>
      <c r="E17" s="15" t="s">
        <v>119</v>
      </c>
      <c r="F17" s="4" t="s">
        <v>120</v>
      </c>
      <c r="G17" s="4" t="s">
        <v>42</v>
      </c>
      <c r="H17" s="7"/>
      <c r="I17" s="6" t="s">
        <v>54</v>
      </c>
      <c r="J17" s="6">
        <v>46038.0</v>
      </c>
      <c r="K17" s="13">
        <v>46039.0</v>
      </c>
      <c r="L17" s="14">
        <v>46043.69097222222</v>
      </c>
      <c r="M17" s="14">
        <v>46043.81458333333</v>
      </c>
      <c r="N17" s="5"/>
      <c r="O17" s="5"/>
      <c r="P17" s="9">
        <v>46046.0</v>
      </c>
      <c r="Q17" s="4" t="s">
        <v>121</v>
      </c>
      <c r="R17" s="4" t="s">
        <v>64</v>
      </c>
      <c r="S17" s="4" t="s">
        <v>64</v>
      </c>
      <c r="T17" s="11" t="s">
        <v>35</v>
      </c>
      <c r="U17" s="4" t="s">
        <v>122</v>
      </c>
      <c r="V17" s="11" t="s">
        <v>35</v>
      </c>
      <c r="W17" s="11" t="s">
        <v>35</v>
      </c>
      <c r="X17" s="11" t="s">
        <v>35</v>
      </c>
      <c r="Y17" s="9">
        <v>46049.0</v>
      </c>
      <c r="Z17" s="9">
        <v>46056.0</v>
      </c>
      <c r="AA17" s="9">
        <v>46056.0</v>
      </c>
    </row>
    <row r="18">
      <c r="A18" s="4" t="s">
        <v>109</v>
      </c>
      <c r="B18" s="4" t="s">
        <v>123</v>
      </c>
      <c r="C18" s="4">
        <v>350.0</v>
      </c>
      <c r="D18" s="4" t="s">
        <v>111</v>
      </c>
      <c r="E18" s="4" t="s">
        <v>124</v>
      </c>
      <c r="F18" s="4" t="s">
        <v>125</v>
      </c>
      <c r="G18" s="5"/>
      <c r="H18" s="7"/>
      <c r="I18" s="6" t="s">
        <v>54</v>
      </c>
      <c r="J18" s="6">
        <v>46038.0</v>
      </c>
      <c r="K18" s="13">
        <v>46039.0</v>
      </c>
      <c r="L18" s="14">
        <v>46043.69097222222</v>
      </c>
      <c r="M18" s="14">
        <v>46043.81458333333</v>
      </c>
      <c r="N18" s="5"/>
      <c r="O18" s="5"/>
      <c r="P18" s="9">
        <v>46046.0</v>
      </c>
      <c r="Q18" s="4" t="s">
        <v>126</v>
      </c>
      <c r="R18" s="4" t="s">
        <v>34</v>
      </c>
      <c r="S18" s="4" t="s">
        <v>127</v>
      </c>
      <c r="T18" s="4" t="s">
        <v>128</v>
      </c>
      <c r="U18" s="4" t="s">
        <v>129</v>
      </c>
      <c r="V18" s="4" t="s">
        <v>130</v>
      </c>
      <c r="W18" s="4" t="s">
        <v>131</v>
      </c>
      <c r="X18" s="4">
        <v>9.5205472E7</v>
      </c>
      <c r="Y18" s="9">
        <v>46049.0</v>
      </c>
      <c r="Z18" s="9">
        <v>46051.0</v>
      </c>
      <c r="AA18" s="9">
        <v>46051.0</v>
      </c>
    </row>
    <row r="19">
      <c r="A19" s="4" t="s">
        <v>109</v>
      </c>
      <c r="B19" s="4" t="s">
        <v>132</v>
      </c>
      <c r="C19" s="4">
        <v>112.0</v>
      </c>
      <c r="D19" s="4" t="s">
        <v>111</v>
      </c>
      <c r="E19" s="4" t="s">
        <v>133</v>
      </c>
      <c r="F19" s="4" t="s">
        <v>53</v>
      </c>
      <c r="G19" s="5"/>
      <c r="H19" s="7"/>
      <c r="I19" s="6" t="s">
        <v>54</v>
      </c>
      <c r="J19" s="6">
        <v>46038.0</v>
      </c>
      <c r="K19" s="13">
        <v>46039.0</v>
      </c>
      <c r="L19" s="14">
        <v>46043.69097222222</v>
      </c>
      <c r="M19" s="14">
        <v>46043.81458333333</v>
      </c>
      <c r="N19" s="5"/>
      <c r="O19" s="5"/>
      <c r="P19" s="9">
        <v>46046.0</v>
      </c>
      <c r="Q19" s="4" t="s">
        <v>134</v>
      </c>
      <c r="R19" s="4" t="s">
        <v>34</v>
      </c>
      <c r="S19" s="4" t="s">
        <v>88</v>
      </c>
      <c r="T19" s="4" t="s">
        <v>89</v>
      </c>
      <c r="U19" s="4" t="s">
        <v>94</v>
      </c>
      <c r="V19" s="4" t="s">
        <v>135</v>
      </c>
      <c r="W19" s="4" t="s">
        <v>136</v>
      </c>
      <c r="X19" s="4">
        <v>1.073158634E9</v>
      </c>
      <c r="Y19" s="9">
        <v>46050.0</v>
      </c>
      <c r="Z19" s="9">
        <v>46055.0</v>
      </c>
      <c r="AA19" s="9">
        <v>46054.0</v>
      </c>
    </row>
    <row r="20">
      <c r="A20" s="4" t="s">
        <v>109</v>
      </c>
      <c r="B20" s="4" t="s">
        <v>137</v>
      </c>
      <c r="C20" s="4">
        <v>422.0</v>
      </c>
      <c r="D20" s="4" t="s">
        <v>111</v>
      </c>
      <c r="E20" s="4" t="s">
        <v>138</v>
      </c>
      <c r="F20" s="4" t="s">
        <v>139</v>
      </c>
      <c r="G20" s="4" t="s">
        <v>42</v>
      </c>
      <c r="H20" s="7"/>
      <c r="I20" s="6" t="s">
        <v>32</v>
      </c>
      <c r="J20" s="6">
        <v>46038.0</v>
      </c>
      <c r="K20" s="13">
        <v>46039.0</v>
      </c>
      <c r="L20" s="14">
        <v>46043.69097222222</v>
      </c>
      <c r="M20" s="14">
        <v>46043.81458333333</v>
      </c>
      <c r="N20" s="5"/>
      <c r="O20" s="5"/>
      <c r="P20" s="9">
        <v>46046.0</v>
      </c>
      <c r="Q20" s="4" t="s">
        <v>140</v>
      </c>
      <c r="R20" s="4" t="s">
        <v>34</v>
      </c>
      <c r="S20" s="4" t="s">
        <v>141</v>
      </c>
      <c r="T20" s="4" t="s">
        <v>128</v>
      </c>
      <c r="U20" s="4" t="s">
        <v>142</v>
      </c>
      <c r="V20" s="4" t="s">
        <v>143</v>
      </c>
      <c r="W20" s="4" t="s">
        <v>144</v>
      </c>
      <c r="X20" s="4">
        <v>9.5205577E7</v>
      </c>
      <c r="Y20" s="9">
        <v>46049.0</v>
      </c>
      <c r="Z20" s="9">
        <v>46051.0</v>
      </c>
      <c r="AA20" s="9">
        <v>46051.0</v>
      </c>
    </row>
    <row r="21">
      <c r="A21" s="5"/>
      <c r="B21" s="5"/>
      <c r="C21" s="5"/>
      <c r="D21" s="5"/>
      <c r="E21" s="5"/>
      <c r="F21" s="5"/>
      <c r="G21" s="5"/>
      <c r="H21" s="5"/>
      <c r="I21" s="5"/>
      <c r="J21" s="7"/>
      <c r="K21" s="8"/>
      <c r="L21" s="8"/>
      <c r="M21" s="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0"/>
      <c r="Z21" s="10"/>
      <c r="AA21" s="5"/>
    </row>
    <row r="22">
      <c r="A22" s="4" t="s">
        <v>145</v>
      </c>
      <c r="B22" s="4" t="s">
        <v>146</v>
      </c>
      <c r="C22" s="4">
        <v>947.54</v>
      </c>
      <c r="D22" s="4" t="s">
        <v>147</v>
      </c>
      <c r="E22" s="4" t="s">
        <v>148</v>
      </c>
      <c r="F22" s="4" t="s">
        <v>53</v>
      </c>
      <c r="G22" s="5"/>
      <c r="H22" s="4" t="s">
        <v>54</v>
      </c>
      <c r="I22" s="4" t="s">
        <v>32</v>
      </c>
      <c r="J22" s="6">
        <v>46042.0</v>
      </c>
      <c r="K22" s="16" t="str">
        <f t="shared" ref="K22:K26" si="1">IF(A22="","",XLOOKUP(A22,Sheet7!B:B,Sheet7!K:K))</f>
        <v>#REF!</v>
      </c>
      <c r="L22" s="16" t="str">
        <f t="shared" ref="L22:L26" si="2">IF(A22="","",XLOOKUP(A22,Sheet7!B:B,Sheet7!R:T))</f>
        <v>#REF!</v>
      </c>
      <c r="M22" s="16"/>
      <c r="N22" s="17"/>
      <c r="O22" s="5"/>
      <c r="P22" s="9">
        <v>46046.0</v>
      </c>
      <c r="Q22" s="4" t="s">
        <v>149</v>
      </c>
      <c r="R22" s="4" t="s">
        <v>34</v>
      </c>
      <c r="S22" s="4" t="s">
        <v>56</v>
      </c>
      <c r="T22" s="4" t="s">
        <v>128</v>
      </c>
      <c r="U22" s="4" t="s">
        <v>150</v>
      </c>
      <c r="V22" s="4" t="s">
        <v>151</v>
      </c>
      <c r="W22" s="4" t="s">
        <v>152</v>
      </c>
      <c r="X22" s="4">
        <v>2.8449897E8</v>
      </c>
      <c r="Y22" s="9">
        <v>46052.0</v>
      </c>
      <c r="Z22" s="9">
        <v>46056.0</v>
      </c>
      <c r="AA22" s="9">
        <v>46057.0</v>
      </c>
    </row>
    <row r="23">
      <c r="A23" s="4" t="s">
        <v>145</v>
      </c>
      <c r="B23" s="4" t="s">
        <v>153</v>
      </c>
      <c r="C23" s="4">
        <v>248.0</v>
      </c>
      <c r="D23" s="4" t="s">
        <v>147</v>
      </c>
      <c r="E23" s="4" t="s">
        <v>86</v>
      </c>
      <c r="F23" s="4" t="s">
        <v>53</v>
      </c>
      <c r="G23" s="5"/>
      <c r="H23" s="5"/>
      <c r="I23" s="4" t="s">
        <v>54</v>
      </c>
      <c r="J23" s="6">
        <v>46042.0</v>
      </c>
      <c r="K23" s="16" t="str">
        <f t="shared" si="1"/>
        <v>#REF!</v>
      </c>
      <c r="L23" s="16" t="str">
        <f t="shared" si="2"/>
        <v>#REF!</v>
      </c>
      <c r="M23" s="16"/>
      <c r="N23" s="17"/>
      <c r="O23" s="5"/>
      <c r="P23" s="9">
        <v>46046.0</v>
      </c>
      <c r="Q23" s="4" t="s">
        <v>117</v>
      </c>
      <c r="R23" s="4" t="s">
        <v>34</v>
      </c>
      <c r="S23" s="4" t="s">
        <v>88</v>
      </c>
      <c r="T23" s="4" t="s">
        <v>89</v>
      </c>
      <c r="U23" s="4" t="s">
        <v>76</v>
      </c>
      <c r="V23" s="4" t="s">
        <v>90</v>
      </c>
      <c r="W23" s="4" t="s">
        <v>154</v>
      </c>
      <c r="X23" s="4">
        <v>1.073528703E9</v>
      </c>
      <c r="Y23" s="9">
        <v>46052.0</v>
      </c>
      <c r="Z23" s="9">
        <v>46059.0</v>
      </c>
      <c r="AA23" s="9">
        <v>46057.0</v>
      </c>
    </row>
    <row r="24">
      <c r="A24" s="4" t="s">
        <v>145</v>
      </c>
      <c r="B24" s="4" t="s">
        <v>155</v>
      </c>
      <c r="C24" s="4">
        <v>717.0</v>
      </c>
      <c r="D24" s="4" t="s">
        <v>147</v>
      </c>
      <c r="E24" s="11" t="s">
        <v>156</v>
      </c>
      <c r="F24" s="4" t="s">
        <v>53</v>
      </c>
      <c r="G24" s="5"/>
      <c r="H24" s="5"/>
      <c r="I24" s="4" t="s">
        <v>54</v>
      </c>
      <c r="J24" s="6">
        <v>46042.0</v>
      </c>
      <c r="K24" s="16" t="str">
        <f t="shared" si="1"/>
        <v>#REF!</v>
      </c>
      <c r="L24" s="16" t="str">
        <f t="shared" si="2"/>
        <v>#REF!</v>
      </c>
      <c r="M24" s="16"/>
      <c r="N24" s="17"/>
      <c r="O24" s="5"/>
      <c r="P24" s="9">
        <v>46046.0</v>
      </c>
      <c r="Q24" s="4" t="s">
        <v>157</v>
      </c>
      <c r="R24" s="4" t="s">
        <v>34</v>
      </c>
      <c r="S24" s="4" t="s">
        <v>88</v>
      </c>
      <c r="T24" s="4" t="s">
        <v>89</v>
      </c>
      <c r="U24" s="4" t="s">
        <v>94</v>
      </c>
      <c r="V24" s="4" t="s">
        <v>158</v>
      </c>
      <c r="W24" s="4" t="s">
        <v>159</v>
      </c>
      <c r="X24" s="4">
        <v>1.07352881E9</v>
      </c>
      <c r="Y24" s="9">
        <v>46052.0</v>
      </c>
      <c r="Z24" s="9">
        <v>46056.0</v>
      </c>
      <c r="AA24" s="9">
        <v>46057.0</v>
      </c>
    </row>
    <row r="25">
      <c r="A25" s="4" t="s">
        <v>145</v>
      </c>
      <c r="B25" s="4" t="s">
        <v>160</v>
      </c>
      <c r="C25" s="4">
        <v>164.19</v>
      </c>
      <c r="D25" s="4" t="s">
        <v>147</v>
      </c>
      <c r="E25" s="11" t="s">
        <v>161</v>
      </c>
      <c r="F25" s="4" t="s">
        <v>53</v>
      </c>
      <c r="G25" s="5"/>
      <c r="H25" s="5"/>
      <c r="I25" s="4" t="s">
        <v>54</v>
      </c>
      <c r="J25" s="6">
        <v>46042.0</v>
      </c>
      <c r="K25" s="16" t="str">
        <f t="shared" si="1"/>
        <v>#REF!</v>
      </c>
      <c r="L25" s="16" t="str">
        <f t="shared" si="2"/>
        <v>#REF!</v>
      </c>
      <c r="M25" s="16"/>
      <c r="N25" s="17"/>
      <c r="O25" s="5"/>
      <c r="P25" s="9">
        <v>46046.0</v>
      </c>
      <c r="Q25" s="4" t="s">
        <v>162</v>
      </c>
      <c r="R25" s="4" t="s">
        <v>64</v>
      </c>
      <c r="S25" s="4" t="s">
        <v>64</v>
      </c>
      <c r="T25" s="4" t="s">
        <v>35</v>
      </c>
      <c r="U25" s="4" t="s">
        <v>58</v>
      </c>
      <c r="V25" s="11" t="s">
        <v>35</v>
      </c>
      <c r="W25" s="11" t="s">
        <v>35</v>
      </c>
      <c r="X25" s="11" t="s">
        <v>35</v>
      </c>
      <c r="Y25" s="9">
        <v>46050.0</v>
      </c>
      <c r="Z25" s="9">
        <v>46056.0</v>
      </c>
      <c r="AA25" s="9">
        <v>46060.0</v>
      </c>
    </row>
    <row r="26">
      <c r="A26" s="4" t="s">
        <v>145</v>
      </c>
      <c r="B26" s="4" t="s">
        <v>163</v>
      </c>
      <c r="C26" s="4">
        <v>139.28</v>
      </c>
      <c r="D26" s="4" t="s">
        <v>147</v>
      </c>
      <c r="E26" s="11" t="s">
        <v>164</v>
      </c>
      <c r="F26" s="11" t="s">
        <v>165</v>
      </c>
      <c r="G26" s="4" t="s">
        <v>42</v>
      </c>
      <c r="H26" s="7"/>
      <c r="I26" s="4" t="s">
        <v>54</v>
      </c>
      <c r="J26" s="6">
        <v>46042.0</v>
      </c>
      <c r="K26" s="16" t="str">
        <f t="shared" si="1"/>
        <v>#REF!</v>
      </c>
      <c r="L26" s="16" t="str">
        <f t="shared" si="2"/>
        <v>#REF!</v>
      </c>
      <c r="M26" s="16"/>
      <c r="N26" s="17"/>
      <c r="O26" s="5"/>
      <c r="P26" s="9">
        <v>46046.0</v>
      </c>
      <c r="Q26" s="4" t="s">
        <v>166</v>
      </c>
      <c r="R26" s="4" t="s">
        <v>64</v>
      </c>
      <c r="S26" s="4" t="s">
        <v>64</v>
      </c>
      <c r="T26" s="4" t="s">
        <v>35</v>
      </c>
      <c r="U26" s="4" t="s">
        <v>167</v>
      </c>
      <c r="V26" s="11" t="s">
        <v>35</v>
      </c>
      <c r="W26" s="11" t="s">
        <v>35</v>
      </c>
      <c r="X26" s="11" t="s">
        <v>35</v>
      </c>
      <c r="Y26" s="9">
        <v>46050.0</v>
      </c>
      <c r="Z26" s="9">
        <v>46051.0</v>
      </c>
      <c r="AA26" s="9">
        <v>46051.0</v>
      </c>
    </row>
    <row r="27">
      <c r="A27" s="5"/>
      <c r="B27" s="5"/>
      <c r="C27" s="5"/>
      <c r="D27" s="5"/>
      <c r="E27" s="5"/>
      <c r="F27" s="5"/>
      <c r="G27" s="5"/>
      <c r="H27" s="7"/>
      <c r="I27" s="7"/>
      <c r="J27" s="7"/>
      <c r="K27" s="8"/>
      <c r="L27" s="8"/>
      <c r="M27" s="8"/>
      <c r="N27" s="5"/>
      <c r="O27" s="5"/>
      <c r="P27" s="5"/>
      <c r="Q27" s="5"/>
      <c r="R27" s="5"/>
      <c r="S27" s="5"/>
      <c r="T27" s="5"/>
      <c r="U27" s="5"/>
      <c r="V27" s="5"/>
      <c r="W27" s="5"/>
      <c r="X27" s="18"/>
      <c r="Y27" s="10"/>
      <c r="Z27" s="10"/>
      <c r="AA27" s="5"/>
    </row>
    <row r="28">
      <c r="A28" s="4" t="s">
        <v>168</v>
      </c>
      <c r="B28" s="4" t="s">
        <v>169</v>
      </c>
      <c r="C28" s="4">
        <v>1268.84</v>
      </c>
      <c r="D28" s="4" t="s">
        <v>170</v>
      </c>
      <c r="E28" s="11" t="s">
        <v>171</v>
      </c>
      <c r="F28" s="11" t="s">
        <v>172</v>
      </c>
      <c r="G28" s="5"/>
      <c r="H28" s="4" t="s">
        <v>173</v>
      </c>
      <c r="I28" s="4" t="s">
        <v>54</v>
      </c>
      <c r="J28" s="6">
        <v>46043.0</v>
      </c>
      <c r="K28" s="16" t="str">
        <f t="array" ref="K28">IF(A28="","",XLOOKUP(A28,Sheet7!B:B,Sheet7!K:K))</f>
        <v>#REF!</v>
      </c>
      <c r="L28" s="16" t="str">
        <f t="array" ref="L28">IF(A28="","",XLOOKUP(A28,Sheet7!B:B,Sheet7!R:T))</f>
        <v>#REF!</v>
      </c>
      <c r="M28" s="16"/>
      <c r="N28" s="19"/>
      <c r="O28" s="5"/>
      <c r="P28" s="9">
        <v>46056.0</v>
      </c>
      <c r="Q28" s="4" t="s">
        <v>174</v>
      </c>
      <c r="R28" s="4" t="s">
        <v>73</v>
      </c>
      <c r="S28" s="4" t="s">
        <v>175</v>
      </c>
      <c r="T28" s="4" t="s">
        <v>176</v>
      </c>
      <c r="U28" s="4" t="s">
        <v>177</v>
      </c>
      <c r="V28" s="4" t="s">
        <v>178</v>
      </c>
      <c r="W28" s="4">
        <v>1348.17</v>
      </c>
      <c r="X28" s="11" t="s">
        <v>35</v>
      </c>
      <c r="Y28" s="9">
        <v>46056.0</v>
      </c>
      <c r="Z28" s="9">
        <v>46056.0</v>
      </c>
      <c r="AA28" s="9">
        <v>46062.0</v>
      </c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8"/>
      <c r="L29" s="8"/>
      <c r="M29" s="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10"/>
      <c r="Z29" s="5"/>
      <c r="AA29" s="5"/>
    </row>
    <row r="30">
      <c r="A30" s="4" t="s">
        <v>179</v>
      </c>
      <c r="B30" s="4" t="s">
        <v>180</v>
      </c>
      <c r="C30" s="4">
        <v>208.0</v>
      </c>
      <c r="D30" s="5"/>
      <c r="E30" s="4" t="s">
        <v>181</v>
      </c>
      <c r="F30" s="4" t="s">
        <v>89</v>
      </c>
      <c r="G30" s="4" t="s">
        <v>182</v>
      </c>
      <c r="H30" s="11" t="s">
        <v>31</v>
      </c>
      <c r="I30" s="11" t="s">
        <v>54</v>
      </c>
      <c r="J30" s="5"/>
      <c r="K30" s="16" t="str">
        <f t="shared" ref="K30:K38" si="3">IF(A30="","",XLOOKUP(A30,Sheet7!B:B,Sheet7!K:K))</f>
        <v>#REF!</v>
      </c>
      <c r="L30" s="16" t="str">
        <f t="shared" ref="L30:L38" si="4">IF(A30="","",XLOOKUP(A30,Sheet7!B:B,Sheet7!R:T))</f>
        <v>#REF!</v>
      </c>
      <c r="M30" s="16"/>
      <c r="N30" s="19"/>
      <c r="O30" s="5"/>
      <c r="P30" s="9">
        <v>46064.0</v>
      </c>
      <c r="Q30" s="4" t="s">
        <v>183</v>
      </c>
      <c r="R30" s="4" t="s">
        <v>64</v>
      </c>
      <c r="S30" s="4" t="s">
        <v>64</v>
      </c>
      <c r="T30" s="4" t="s">
        <v>35</v>
      </c>
      <c r="U30" s="4" t="s">
        <v>94</v>
      </c>
      <c r="V30" s="4" t="s">
        <v>184</v>
      </c>
      <c r="W30" s="5"/>
      <c r="X30" s="5"/>
      <c r="Y30" s="9">
        <v>46065.0</v>
      </c>
      <c r="Z30" s="9">
        <v>46076.0</v>
      </c>
      <c r="AA30" s="9">
        <v>46076.0</v>
      </c>
    </row>
    <row r="31">
      <c r="A31" s="4" t="s">
        <v>179</v>
      </c>
      <c r="B31" s="4" t="s">
        <v>185</v>
      </c>
      <c r="C31" s="4">
        <v>99.9</v>
      </c>
      <c r="D31" s="5"/>
      <c r="E31" s="4" t="s">
        <v>186</v>
      </c>
      <c r="F31" s="4" t="s">
        <v>187</v>
      </c>
      <c r="G31" s="4" t="s">
        <v>182</v>
      </c>
      <c r="H31" s="5"/>
      <c r="I31" s="11" t="s">
        <v>188</v>
      </c>
      <c r="J31" s="5"/>
      <c r="K31" s="16" t="str">
        <f t="shared" si="3"/>
        <v>#REF!</v>
      </c>
      <c r="L31" s="16" t="str">
        <f t="shared" si="4"/>
        <v>#REF!</v>
      </c>
      <c r="M31" s="16"/>
      <c r="N31" s="19"/>
      <c r="O31" s="5"/>
      <c r="P31" s="9">
        <v>46064.0</v>
      </c>
      <c r="Q31" s="4" t="s">
        <v>189</v>
      </c>
      <c r="R31" s="4" t="s">
        <v>64</v>
      </c>
      <c r="S31" s="4" t="s">
        <v>64</v>
      </c>
      <c r="T31" s="4" t="s">
        <v>35</v>
      </c>
      <c r="U31" s="4" t="s">
        <v>190</v>
      </c>
      <c r="V31" s="4" t="s">
        <v>191</v>
      </c>
      <c r="W31" s="5"/>
      <c r="X31" s="5"/>
      <c r="Y31" s="9">
        <v>46065.0</v>
      </c>
      <c r="Z31" s="9">
        <v>46069.0</v>
      </c>
      <c r="AA31" s="9">
        <v>46069.0</v>
      </c>
    </row>
    <row r="32">
      <c r="A32" s="4" t="s">
        <v>179</v>
      </c>
      <c r="B32" s="4" t="s">
        <v>192</v>
      </c>
      <c r="C32" s="4">
        <v>147.92</v>
      </c>
      <c r="D32" s="5"/>
      <c r="E32" s="4" t="s">
        <v>193</v>
      </c>
      <c r="F32" s="4" t="s">
        <v>89</v>
      </c>
      <c r="G32" s="4" t="s">
        <v>182</v>
      </c>
      <c r="H32" s="5"/>
      <c r="I32" s="11" t="s">
        <v>54</v>
      </c>
      <c r="J32" s="5"/>
      <c r="K32" s="16" t="str">
        <f t="shared" si="3"/>
        <v>#REF!</v>
      </c>
      <c r="L32" s="16" t="str">
        <f t="shared" si="4"/>
        <v>#REF!</v>
      </c>
      <c r="M32" s="16"/>
      <c r="N32" s="19"/>
      <c r="O32" s="5"/>
      <c r="P32" s="9">
        <v>46064.0</v>
      </c>
      <c r="Q32" s="4" t="s">
        <v>194</v>
      </c>
      <c r="R32" s="4" t="s">
        <v>34</v>
      </c>
      <c r="S32" s="4" t="s">
        <v>88</v>
      </c>
      <c r="T32" s="4" t="s">
        <v>89</v>
      </c>
      <c r="U32" s="4" t="s">
        <v>195</v>
      </c>
      <c r="V32" s="4" t="s">
        <v>196</v>
      </c>
      <c r="W32" s="11" t="s">
        <v>197</v>
      </c>
      <c r="X32" s="5"/>
      <c r="Y32" s="9">
        <v>46065.0</v>
      </c>
      <c r="Z32" s="9">
        <v>46071.0</v>
      </c>
      <c r="AA32" s="9">
        <v>46067.0</v>
      </c>
    </row>
    <row r="33">
      <c r="A33" s="4" t="s">
        <v>179</v>
      </c>
      <c r="B33" s="4" t="s">
        <v>198</v>
      </c>
      <c r="C33" s="4">
        <v>315.92</v>
      </c>
      <c r="D33" s="5"/>
      <c r="E33" s="4" t="s">
        <v>199</v>
      </c>
      <c r="F33" s="4" t="s">
        <v>89</v>
      </c>
      <c r="G33" s="4" t="s">
        <v>182</v>
      </c>
      <c r="H33" s="5"/>
      <c r="I33" s="11" t="s">
        <v>54</v>
      </c>
      <c r="J33" s="5"/>
      <c r="K33" s="16" t="str">
        <f t="shared" si="3"/>
        <v>#REF!</v>
      </c>
      <c r="L33" s="16" t="str">
        <f t="shared" si="4"/>
        <v>#REF!</v>
      </c>
      <c r="M33" s="16"/>
      <c r="N33" s="19"/>
      <c r="O33" s="5"/>
      <c r="P33" s="9">
        <v>46064.0</v>
      </c>
      <c r="Q33" s="4" t="s">
        <v>200</v>
      </c>
      <c r="R33" s="4" t="s">
        <v>64</v>
      </c>
      <c r="S33" s="4" t="s">
        <v>64</v>
      </c>
      <c r="T33" s="4" t="s">
        <v>35</v>
      </c>
      <c r="U33" s="4" t="s">
        <v>201</v>
      </c>
      <c r="V33" s="4" t="s">
        <v>202</v>
      </c>
      <c r="W33" s="5"/>
      <c r="X33" s="5"/>
      <c r="Y33" s="9">
        <v>46065.0</v>
      </c>
      <c r="Z33" s="9">
        <v>46069.0</v>
      </c>
      <c r="AA33" s="9">
        <v>46069.0</v>
      </c>
    </row>
    <row r="34">
      <c r="A34" s="4" t="s">
        <v>179</v>
      </c>
      <c r="B34" s="4" t="s">
        <v>203</v>
      </c>
      <c r="C34" s="4">
        <v>216.7</v>
      </c>
      <c r="D34" s="5"/>
      <c r="E34" s="4" t="s">
        <v>204</v>
      </c>
      <c r="F34" s="4" t="s">
        <v>89</v>
      </c>
      <c r="G34" s="4" t="s">
        <v>182</v>
      </c>
      <c r="H34" s="5"/>
      <c r="I34" s="11" t="s">
        <v>188</v>
      </c>
      <c r="J34" s="5"/>
      <c r="K34" s="16" t="str">
        <f t="shared" si="3"/>
        <v>#REF!</v>
      </c>
      <c r="L34" s="16" t="str">
        <f t="shared" si="4"/>
        <v>#REF!</v>
      </c>
      <c r="M34" s="16"/>
      <c r="N34" s="19"/>
      <c r="O34" s="5"/>
      <c r="P34" s="9">
        <v>46064.0</v>
      </c>
      <c r="Q34" s="4" t="s">
        <v>200</v>
      </c>
      <c r="R34" s="4" t="s">
        <v>34</v>
      </c>
      <c r="S34" s="4" t="s">
        <v>205</v>
      </c>
      <c r="T34" s="4" t="s">
        <v>57</v>
      </c>
      <c r="U34" s="4" t="s">
        <v>82</v>
      </c>
      <c r="V34" s="4" t="s">
        <v>206</v>
      </c>
      <c r="W34" s="5"/>
      <c r="X34" s="4">
        <v>1.760861573E9</v>
      </c>
      <c r="Y34" s="9">
        <v>46066.0</v>
      </c>
      <c r="Z34" s="9">
        <v>46070.0</v>
      </c>
      <c r="AA34" s="9">
        <v>46073.0</v>
      </c>
    </row>
    <row r="35">
      <c r="A35" s="4" t="s">
        <v>179</v>
      </c>
      <c r="B35" s="4" t="s">
        <v>207</v>
      </c>
      <c r="C35" s="4">
        <v>73.7</v>
      </c>
      <c r="D35" s="5"/>
      <c r="E35" s="4" t="s">
        <v>208</v>
      </c>
      <c r="F35" s="4" t="s">
        <v>89</v>
      </c>
      <c r="G35" s="4" t="s">
        <v>182</v>
      </c>
      <c r="H35" s="5"/>
      <c r="I35" s="11" t="s">
        <v>188</v>
      </c>
      <c r="J35" s="5"/>
      <c r="K35" s="16" t="str">
        <f t="shared" si="3"/>
        <v>#REF!</v>
      </c>
      <c r="L35" s="16" t="str">
        <f t="shared" si="4"/>
        <v>#REF!</v>
      </c>
      <c r="M35" s="16"/>
      <c r="N35" s="19"/>
      <c r="O35" s="5"/>
      <c r="P35" s="9">
        <v>46064.0</v>
      </c>
      <c r="Q35" s="4" t="s">
        <v>209</v>
      </c>
      <c r="R35" s="4" t="s">
        <v>34</v>
      </c>
      <c r="S35" s="4" t="s">
        <v>88</v>
      </c>
      <c r="T35" s="4" t="s">
        <v>210</v>
      </c>
      <c r="U35" s="4" t="s">
        <v>211</v>
      </c>
      <c r="V35" s="4" t="s">
        <v>212</v>
      </c>
      <c r="W35" s="5"/>
      <c r="X35" s="4">
        <v>1.074301142E9</v>
      </c>
      <c r="Y35" s="9">
        <v>46065.0</v>
      </c>
      <c r="Z35" s="9">
        <v>46069.0</v>
      </c>
      <c r="AA35" s="9">
        <v>46073.0</v>
      </c>
    </row>
    <row r="36">
      <c r="A36" s="4" t="s">
        <v>179</v>
      </c>
      <c r="B36" s="4" t="s">
        <v>213</v>
      </c>
      <c r="C36" s="4">
        <v>105.0</v>
      </c>
      <c r="D36" s="5"/>
      <c r="E36" s="4" t="s">
        <v>214</v>
      </c>
      <c r="F36" s="4" t="s">
        <v>89</v>
      </c>
      <c r="G36" s="4" t="s">
        <v>182</v>
      </c>
      <c r="H36" s="5"/>
      <c r="I36" s="11" t="s">
        <v>54</v>
      </c>
      <c r="J36" s="5"/>
      <c r="K36" s="16" t="str">
        <f t="shared" si="3"/>
        <v>#REF!</v>
      </c>
      <c r="L36" s="16" t="str">
        <f t="shared" si="4"/>
        <v>#REF!</v>
      </c>
      <c r="M36" s="16"/>
      <c r="N36" s="19"/>
      <c r="O36" s="5"/>
      <c r="P36" s="9">
        <v>46064.0</v>
      </c>
      <c r="Q36" s="4" t="s">
        <v>215</v>
      </c>
      <c r="R36" s="4" t="s">
        <v>64</v>
      </c>
      <c r="S36" s="4" t="s">
        <v>64</v>
      </c>
      <c r="T36" s="4" t="s">
        <v>35</v>
      </c>
      <c r="U36" s="4" t="s">
        <v>216</v>
      </c>
      <c r="V36" s="5"/>
      <c r="W36" s="5"/>
      <c r="X36" s="5"/>
      <c r="Y36" s="9">
        <v>46065.0</v>
      </c>
      <c r="Z36" s="9">
        <v>46066.0</v>
      </c>
      <c r="AA36" s="9">
        <v>46066.0</v>
      </c>
    </row>
    <row r="37">
      <c r="A37" s="4" t="s">
        <v>179</v>
      </c>
      <c r="B37" s="4" t="s">
        <v>217</v>
      </c>
      <c r="C37" s="4">
        <v>222.0</v>
      </c>
      <c r="D37" s="5"/>
      <c r="E37" s="4" t="s">
        <v>148</v>
      </c>
      <c r="F37" s="4" t="s">
        <v>89</v>
      </c>
      <c r="G37" s="4" t="s">
        <v>182</v>
      </c>
      <c r="H37" s="5"/>
      <c r="I37" s="11" t="s">
        <v>188</v>
      </c>
      <c r="J37" s="5"/>
      <c r="K37" s="16" t="str">
        <f t="shared" si="3"/>
        <v>#REF!</v>
      </c>
      <c r="L37" s="16" t="str">
        <f t="shared" si="4"/>
        <v>#REF!</v>
      </c>
      <c r="M37" s="16"/>
      <c r="N37" s="19"/>
      <c r="O37" s="5"/>
      <c r="P37" s="9">
        <v>46064.0</v>
      </c>
      <c r="Q37" s="4" t="s">
        <v>218</v>
      </c>
      <c r="R37" s="4" t="s">
        <v>64</v>
      </c>
      <c r="S37" s="4" t="s">
        <v>64</v>
      </c>
      <c r="T37" s="4" t="s">
        <v>35</v>
      </c>
      <c r="U37" s="4" t="s">
        <v>150</v>
      </c>
      <c r="V37" s="4" t="s">
        <v>219</v>
      </c>
      <c r="W37" s="5"/>
      <c r="X37" s="5"/>
      <c r="Y37" s="9">
        <v>46065.0</v>
      </c>
      <c r="Z37" s="9">
        <v>46069.0</v>
      </c>
      <c r="AA37" s="9">
        <v>46069.0</v>
      </c>
    </row>
    <row r="38">
      <c r="A38" s="4" t="s">
        <v>179</v>
      </c>
      <c r="B38" s="4" t="s">
        <v>220</v>
      </c>
      <c r="C38" s="4">
        <v>133.0</v>
      </c>
      <c r="D38" s="5"/>
      <c r="E38" s="4" t="s">
        <v>221</v>
      </c>
      <c r="F38" s="4" t="s">
        <v>89</v>
      </c>
      <c r="G38" s="4" t="s">
        <v>182</v>
      </c>
      <c r="H38" s="5"/>
      <c r="I38" s="11" t="s">
        <v>54</v>
      </c>
      <c r="J38" s="5"/>
      <c r="K38" s="16" t="str">
        <f t="shared" si="3"/>
        <v>#REF!</v>
      </c>
      <c r="L38" s="16" t="str">
        <f t="shared" si="4"/>
        <v>#REF!</v>
      </c>
      <c r="M38" s="16"/>
      <c r="N38" s="19"/>
      <c r="O38" s="5"/>
      <c r="P38" s="9">
        <v>46064.0</v>
      </c>
      <c r="Q38" s="4" t="s">
        <v>194</v>
      </c>
      <c r="R38" s="15" t="s">
        <v>64</v>
      </c>
      <c r="S38" s="4" t="s">
        <v>64</v>
      </c>
      <c r="T38" s="4" t="s">
        <v>35</v>
      </c>
      <c r="U38" s="4" t="s">
        <v>94</v>
      </c>
      <c r="V38" s="4" t="s">
        <v>222</v>
      </c>
      <c r="W38" s="5"/>
      <c r="X38" s="5"/>
      <c r="Y38" s="9">
        <v>46065.0</v>
      </c>
      <c r="Z38" s="9">
        <v>46076.0</v>
      </c>
      <c r="AA38" s="9">
        <v>46076.0</v>
      </c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8"/>
      <c r="L39" s="8"/>
      <c r="M39" s="8"/>
      <c r="N39" s="5"/>
      <c r="O39" s="5"/>
      <c r="P39" s="5"/>
      <c r="Q39" s="5"/>
      <c r="R39" s="20"/>
      <c r="S39" s="5"/>
      <c r="T39" s="5"/>
      <c r="U39" s="5"/>
      <c r="V39" s="5"/>
      <c r="W39" s="5"/>
      <c r="X39" s="5"/>
      <c r="Y39" s="5"/>
      <c r="Z39" s="5"/>
      <c r="AA39" s="5"/>
    </row>
    <row r="40">
      <c r="A40" s="21" t="s">
        <v>223</v>
      </c>
      <c r="B40" s="21" t="s">
        <v>224</v>
      </c>
      <c r="C40" s="21">
        <v>745.0</v>
      </c>
      <c r="D40" s="22"/>
      <c r="E40" s="21" t="s">
        <v>52</v>
      </c>
      <c r="F40" s="21" t="s">
        <v>89</v>
      </c>
      <c r="G40" s="21" t="s">
        <v>182</v>
      </c>
      <c r="H40" s="23" t="s">
        <v>31</v>
      </c>
      <c r="I40" s="23" t="s">
        <v>54</v>
      </c>
      <c r="J40" s="22"/>
      <c r="K40" s="24" t="str">
        <f t="shared" ref="K40:K47" si="5">IF(A40="","",XLOOKUP(A40,Sheet7!B:B,Sheet7!K:K))</f>
        <v>#REF!</v>
      </c>
      <c r="L40" s="24" t="str">
        <f t="shared" ref="L40:L47" si="6">IF(A40="","",XLOOKUP(A40,Sheet7!B:B,Sheet7!R:T))</f>
        <v>#REF!</v>
      </c>
      <c r="M40" s="24"/>
      <c r="N40" s="25"/>
      <c r="O40" s="26"/>
      <c r="P40" s="27">
        <v>46071.0</v>
      </c>
      <c r="Q40" s="21" t="s">
        <v>225</v>
      </c>
      <c r="R40" s="21" t="s">
        <v>34</v>
      </c>
      <c r="S40" s="21" t="s">
        <v>88</v>
      </c>
      <c r="T40" s="21" t="s">
        <v>89</v>
      </c>
      <c r="U40" s="21" t="s">
        <v>226</v>
      </c>
      <c r="V40" s="21" t="s">
        <v>227</v>
      </c>
      <c r="W40" s="21" t="s">
        <v>228</v>
      </c>
      <c r="X40" s="21">
        <v>1.0747111E9</v>
      </c>
      <c r="Y40" s="27">
        <v>46072.0</v>
      </c>
      <c r="Z40" s="27">
        <v>46076.0</v>
      </c>
      <c r="AA40" s="22"/>
    </row>
    <row r="41">
      <c r="A41" s="4" t="s">
        <v>223</v>
      </c>
      <c r="B41" s="4" t="s">
        <v>229</v>
      </c>
      <c r="C41" s="4">
        <v>37.15</v>
      </c>
      <c r="D41" s="5"/>
      <c r="E41" s="15" t="s">
        <v>230</v>
      </c>
      <c r="F41" s="4" t="s">
        <v>97</v>
      </c>
      <c r="G41" s="4" t="s">
        <v>182</v>
      </c>
      <c r="H41" s="5"/>
      <c r="I41" s="11" t="s">
        <v>188</v>
      </c>
      <c r="J41" s="5"/>
      <c r="K41" s="16" t="str">
        <f t="shared" si="5"/>
        <v>#REF!</v>
      </c>
      <c r="L41" s="16" t="str">
        <f t="shared" si="6"/>
        <v>#REF!</v>
      </c>
      <c r="M41" s="16"/>
      <c r="N41" s="19"/>
      <c r="O41" s="28"/>
      <c r="P41" s="9">
        <v>46071.0</v>
      </c>
      <c r="Q41" s="4" t="s">
        <v>121</v>
      </c>
      <c r="R41" s="4" t="s">
        <v>64</v>
      </c>
      <c r="S41" s="4" t="s">
        <v>64</v>
      </c>
      <c r="T41" s="4" t="s">
        <v>35</v>
      </c>
      <c r="U41" s="4" t="s">
        <v>231</v>
      </c>
      <c r="V41" s="5"/>
      <c r="W41" s="5"/>
      <c r="X41" s="5"/>
      <c r="Y41" s="9">
        <v>46072.0</v>
      </c>
      <c r="Z41" s="9">
        <v>46073.0</v>
      </c>
      <c r="AA41" s="9">
        <v>46073.0</v>
      </c>
    </row>
    <row r="42">
      <c r="A42" s="4" t="s">
        <v>223</v>
      </c>
      <c r="B42" s="4" t="s">
        <v>232</v>
      </c>
      <c r="C42" s="4">
        <v>150.3</v>
      </c>
      <c r="D42" s="5"/>
      <c r="E42" s="4" t="s">
        <v>233</v>
      </c>
      <c r="F42" s="4" t="s">
        <v>89</v>
      </c>
      <c r="G42" s="4" t="s">
        <v>182</v>
      </c>
      <c r="H42" s="5"/>
      <c r="I42" s="11" t="s">
        <v>54</v>
      </c>
      <c r="J42" s="5"/>
      <c r="K42" s="16" t="str">
        <f t="shared" si="5"/>
        <v>#REF!</v>
      </c>
      <c r="L42" s="16" t="str">
        <f t="shared" si="6"/>
        <v>#REF!</v>
      </c>
      <c r="M42" s="16"/>
      <c r="N42" s="19"/>
      <c r="O42" s="28"/>
      <c r="P42" s="9">
        <v>46071.0</v>
      </c>
      <c r="Q42" s="4" t="s">
        <v>234</v>
      </c>
      <c r="R42" s="4" t="s">
        <v>64</v>
      </c>
      <c r="S42" s="4" t="s">
        <v>64</v>
      </c>
      <c r="T42" s="4" t="s">
        <v>35</v>
      </c>
      <c r="U42" s="4" t="s">
        <v>94</v>
      </c>
      <c r="V42" s="4" t="s">
        <v>235</v>
      </c>
      <c r="W42" s="5"/>
      <c r="X42" s="5"/>
      <c r="Y42" s="9">
        <v>46072.0</v>
      </c>
      <c r="Z42" s="9">
        <v>46077.0</v>
      </c>
      <c r="AA42" s="9">
        <v>46077.0</v>
      </c>
    </row>
    <row r="43">
      <c r="A43" s="4" t="s">
        <v>223</v>
      </c>
      <c r="B43" s="4" t="s">
        <v>236</v>
      </c>
      <c r="C43" s="4">
        <v>200.65</v>
      </c>
      <c r="D43" s="5"/>
      <c r="E43" s="4" t="s">
        <v>237</v>
      </c>
      <c r="F43" s="4" t="s">
        <v>238</v>
      </c>
      <c r="G43" s="4" t="s">
        <v>182</v>
      </c>
      <c r="H43" s="5"/>
      <c r="I43" s="11" t="s">
        <v>54</v>
      </c>
      <c r="J43" s="5"/>
      <c r="K43" s="16" t="str">
        <f t="shared" si="5"/>
        <v>#REF!</v>
      </c>
      <c r="L43" s="16" t="str">
        <f t="shared" si="6"/>
        <v>#REF!</v>
      </c>
      <c r="M43" s="16"/>
      <c r="N43" s="19"/>
      <c r="O43" s="28"/>
      <c r="P43" s="9">
        <v>46071.0</v>
      </c>
      <c r="Q43" s="4" t="s">
        <v>239</v>
      </c>
      <c r="R43" s="4" t="s">
        <v>64</v>
      </c>
      <c r="S43" s="4" t="s">
        <v>64</v>
      </c>
      <c r="T43" s="4" t="s">
        <v>35</v>
      </c>
      <c r="U43" s="4" t="s">
        <v>240</v>
      </c>
      <c r="V43" s="4" t="s">
        <v>206</v>
      </c>
      <c r="W43" s="5"/>
      <c r="X43" s="5"/>
      <c r="Y43" s="9">
        <v>46072.0</v>
      </c>
      <c r="Z43" s="9">
        <v>46079.0</v>
      </c>
      <c r="AA43" s="9">
        <v>46079.0</v>
      </c>
    </row>
    <row r="44">
      <c r="A44" s="21" t="s">
        <v>223</v>
      </c>
      <c r="B44" s="21" t="s">
        <v>241</v>
      </c>
      <c r="C44" s="21">
        <v>102.35</v>
      </c>
      <c r="D44" s="22"/>
      <c r="E44" s="21" t="s">
        <v>242</v>
      </c>
      <c r="F44" s="21" t="s">
        <v>89</v>
      </c>
      <c r="G44" s="21" t="s">
        <v>182</v>
      </c>
      <c r="H44" s="22"/>
      <c r="I44" s="23" t="s">
        <v>54</v>
      </c>
      <c r="J44" s="22"/>
      <c r="K44" s="24" t="str">
        <f t="shared" si="5"/>
        <v>#REF!</v>
      </c>
      <c r="L44" s="24" t="str">
        <f t="shared" si="6"/>
        <v>#REF!</v>
      </c>
      <c r="M44" s="24"/>
      <c r="N44" s="25"/>
      <c r="O44" s="26"/>
      <c r="P44" s="27">
        <v>46071.0</v>
      </c>
      <c r="Q44" s="21" t="s">
        <v>215</v>
      </c>
      <c r="R44" s="21" t="s">
        <v>64</v>
      </c>
      <c r="S44" s="21" t="s">
        <v>64</v>
      </c>
      <c r="T44" s="21" t="s">
        <v>35</v>
      </c>
      <c r="U44" s="21" t="s">
        <v>243</v>
      </c>
      <c r="V44" s="21" t="s">
        <v>244</v>
      </c>
      <c r="W44" s="22"/>
      <c r="X44" s="22"/>
      <c r="Y44" s="27">
        <v>46072.0</v>
      </c>
      <c r="Z44" s="22"/>
      <c r="AA44" s="22"/>
    </row>
    <row r="45">
      <c r="A45" s="4" t="s">
        <v>223</v>
      </c>
      <c r="B45" s="4" t="s">
        <v>245</v>
      </c>
      <c r="C45" s="4">
        <v>291.5</v>
      </c>
      <c r="D45" s="5"/>
      <c r="E45" s="4" t="s">
        <v>246</v>
      </c>
      <c r="F45" s="4" t="s">
        <v>89</v>
      </c>
      <c r="G45" s="4" t="s">
        <v>182</v>
      </c>
      <c r="H45" s="5"/>
      <c r="I45" s="11" t="s">
        <v>54</v>
      </c>
      <c r="J45" s="5"/>
      <c r="K45" s="16" t="str">
        <f t="shared" si="5"/>
        <v>#REF!</v>
      </c>
      <c r="L45" s="16" t="str">
        <f t="shared" si="6"/>
        <v>#REF!</v>
      </c>
      <c r="M45" s="16"/>
      <c r="N45" s="19"/>
      <c r="O45" s="28"/>
      <c r="P45" s="9">
        <v>46071.0</v>
      </c>
      <c r="Q45" s="4" t="s">
        <v>234</v>
      </c>
      <c r="R45" s="4" t="s">
        <v>34</v>
      </c>
      <c r="S45" s="4" t="s">
        <v>88</v>
      </c>
      <c r="T45" s="4" t="s">
        <v>89</v>
      </c>
      <c r="U45" s="4" t="s">
        <v>201</v>
      </c>
      <c r="V45" s="4" t="s">
        <v>247</v>
      </c>
      <c r="W45" s="4" t="s">
        <v>248</v>
      </c>
      <c r="X45" s="4">
        <v>1.074712389E9</v>
      </c>
      <c r="Y45" s="9">
        <v>46072.0</v>
      </c>
      <c r="Z45" s="9">
        <v>46077.0</v>
      </c>
      <c r="AA45" s="9">
        <v>46078.0</v>
      </c>
    </row>
    <row r="46">
      <c r="A46" s="4" t="s">
        <v>223</v>
      </c>
      <c r="B46" s="4" t="s">
        <v>249</v>
      </c>
      <c r="C46" s="4">
        <v>80.0</v>
      </c>
      <c r="D46" s="5"/>
      <c r="E46" s="15" t="s">
        <v>250</v>
      </c>
      <c r="F46" s="4" t="s">
        <v>89</v>
      </c>
      <c r="G46" s="4" t="s">
        <v>182</v>
      </c>
      <c r="H46" s="5"/>
      <c r="I46" s="11" t="s">
        <v>188</v>
      </c>
      <c r="J46" s="5"/>
      <c r="K46" s="16" t="str">
        <f t="shared" si="5"/>
        <v>#REF!</v>
      </c>
      <c r="L46" s="16" t="str">
        <f t="shared" si="6"/>
        <v>#REF!</v>
      </c>
      <c r="M46" s="16"/>
      <c r="N46" s="19"/>
      <c r="O46" s="28"/>
      <c r="P46" s="9">
        <v>46071.0</v>
      </c>
      <c r="Q46" s="4" t="s">
        <v>194</v>
      </c>
      <c r="R46" s="4" t="s">
        <v>64</v>
      </c>
      <c r="S46" s="4" t="s">
        <v>64</v>
      </c>
      <c r="T46" s="4" t="s">
        <v>35</v>
      </c>
      <c r="U46" s="4" t="s">
        <v>251</v>
      </c>
      <c r="V46" s="5"/>
      <c r="W46" s="5"/>
      <c r="X46" s="5"/>
      <c r="Y46" s="9">
        <v>46072.0</v>
      </c>
      <c r="Z46" s="5"/>
      <c r="AA46" s="5"/>
    </row>
    <row r="47">
      <c r="A47" s="21" t="s">
        <v>223</v>
      </c>
      <c r="B47" s="21" t="s">
        <v>252</v>
      </c>
      <c r="C47" s="21">
        <v>705.0</v>
      </c>
      <c r="D47" s="22"/>
      <c r="E47" s="21" t="s">
        <v>148</v>
      </c>
      <c r="F47" s="21" t="s">
        <v>89</v>
      </c>
      <c r="G47" s="21" t="s">
        <v>182</v>
      </c>
      <c r="H47" s="22"/>
      <c r="I47" s="23" t="s">
        <v>188</v>
      </c>
      <c r="J47" s="22"/>
      <c r="K47" s="24" t="str">
        <f t="shared" si="5"/>
        <v>#REF!</v>
      </c>
      <c r="L47" s="24" t="str">
        <f t="shared" si="6"/>
        <v>#REF!</v>
      </c>
      <c r="M47" s="24"/>
      <c r="N47" s="25"/>
      <c r="O47" s="26"/>
      <c r="P47" s="27">
        <v>46071.0</v>
      </c>
      <c r="Q47" s="21" t="s">
        <v>253</v>
      </c>
      <c r="R47" s="21" t="s">
        <v>34</v>
      </c>
      <c r="S47" s="21" t="s">
        <v>127</v>
      </c>
      <c r="T47" s="21" t="s">
        <v>128</v>
      </c>
      <c r="U47" s="21" t="s">
        <v>150</v>
      </c>
      <c r="V47" s="21" t="s">
        <v>254</v>
      </c>
      <c r="W47" s="21" t="s">
        <v>255</v>
      </c>
      <c r="X47" s="21">
        <v>4.16465623E8</v>
      </c>
      <c r="Y47" s="27">
        <v>46073.0</v>
      </c>
      <c r="Z47" s="27">
        <v>46078.0</v>
      </c>
      <c r="AA47" s="2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8"/>
      <c r="L48" s="8"/>
      <c r="M48" s="8"/>
      <c r="N48" s="5"/>
      <c r="O48" s="5"/>
      <c r="P48" s="5"/>
      <c r="Q48" s="5"/>
      <c r="R48" s="18"/>
      <c r="S48" s="5"/>
      <c r="T48" s="5"/>
      <c r="U48" s="5"/>
      <c r="V48" s="5"/>
      <c r="W48" s="5"/>
      <c r="X48" s="5"/>
      <c r="Y48" s="5"/>
      <c r="Z48" s="5"/>
      <c r="AA48" s="5"/>
    </row>
    <row r="49">
      <c r="A49" s="4" t="s">
        <v>256</v>
      </c>
      <c r="B49" s="4" t="s">
        <v>257</v>
      </c>
      <c r="C49" s="4">
        <v>9392.0</v>
      </c>
      <c r="D49" s="5"/>
      <c r="E49" s="4" t="s">
        <v>258</v>
      </c>
      <c r="F49" s="11" t="s">
        <v>259</v>
      </c>
      <c r="G49" s="4" t="s">
        <v>182</v>
      </c>
      <c r="H49" s="11" t="s">
        <v>173</v>
      </c>
      <c r="I49" s="11" t="s">
        <v>54</v>
      </c>
      <c r="J49" s="5"/>
      <c r="K49" s="16" t="str">
        <f t="array" ref="K49">IF(A49="","",XLOOKUP(A49,Sheet7!B:B,Sheet7!K:K))</f>
        <v>#REF!</v>
      </c>
      <c r="L49" s="16" t="str">
        <f t="array" ref="L49">IF(A49="","",XLOOKUP(A49,Sheet7!B:B,Sheet7!R:T))</f>
        <v>#REF!</v>
      </c>
      <c r="M49" s="16"/>
      <c r="N49" s="19"/>
      <c r="O49" s="5"/>
      <c r="P49" s="9">
        <v>46069.0</v>
      </c>
      <c r="Q49" s="4" t="s">
        <v>260</v>
      </c>
      <c r="R49" s="4" t="s">
        <v>73</v>
      </c>
      <c r="S49" s="4" t="s">
        <v>35</v>
      </c>
      <c r="T49" s="4" t="s">
        <v>261</v>
      </c>
      <c r="U49" s="4" t="s">
        <v>262</v>
      </c>
      <c r="V49" s="4" t="s">
        <v>263</v>
      </c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8"/>
      <c r="L50" s="8"/>
      <c r="M50" s="8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4" t="s">
        <v>264</v>
      </c>
      <c r="B51" s="4" t="s">
        <v>265</v>
      </c>
      <c r="C51" s="4">
        <v>410.0</v>
      </c>
      <c r="D51" s="5"/>
      <c r="E51" s="4" t="s">
        <v>266</v>
      </c>
      <c r="F51" s="4" t="s">
        <v>89</v>
      </c>
      <c r="G51" s="4" t="s">
        <v>182</v>
      </c>
      <c r="H51" s="11" t="s">
        <v>31</v>
      </c>
      <c r="I51" s="11" t="s">
        <v>54</v>
      </c>
      <c r="J51" s="5"/>
      <c r="K51" s="16" t="str">
        <f t="array" ref="K51">IF(A51="","",XLOOKUP(A51,Sheet7!B:B,Sheet7!K:K))</f>
        <v>#REF!</v>
      </c>
      <c r="L51" s="16" t="str">
        <f t="array" ref="L51">IF(A51="","",XLOOKUP(A51,Sheet7!B:B,Sheet7!R:T))</f>
        <v>#REF!</v>
      </c>
      <c r="M51" s="16"/>
      <c r="N51" s="19"/>
      <c r="O51" s="5"/>
      <c r="P51" s="9">
        <v>46070.0</v>
      </c>
      <c r="Q51" s="4" t="s">
        <v>267</v>
      </c>
      <c r="R51" s="4" t="s">
        <v>64</v>
      </c>
      <c r="S51" s="4" t="s">
        <v>64</v>
      </c>
      <c r="T51" s="11" t="s">
        <v>35</v>
      </c>
      <c r="U51" s="4" t="s">
        <v>58</v>
      </c>
      <c r="V51" s="4" t="s">
        <v>268</v>
      </c>
      <c r="W51" s="5"/>
      <c r="X51" s="5"/>
      <c r="Y51" s="9">
        <v>46070.0</v>
      </c>
      <c r="Z51" s="9">
        <v>46080.0</v>
      </c>
      <c r="AA51" s="9">
        <v>46080.0</v>
      </c>
    </row>
    <row r="52">
      <c r="A52" s="4" t="s">
        <v>269</v>
      </c>
      <c r="B52" s="4" t="s">
        <v>270</v>
      </c>
      <c r="C52" s="4">
        <v>2186.0</v>
      </c>
      <c r="D52" s="5"/>
      <c r="E52" s="15" t="s">
        <v>271</v>
      </c>
      <c r="F52" s="4" t="s">
        <v>272</v>
      </c>
      <c r="G52" s="4" t="s">
        <v>182</v>
      </c>
      <c r="H52" s="5"/>
      <c r="I52" s="11" t="s">
        <v>54</v>
      </c>
      <c r="J52" s="5"/>
      <c r="K52" s="16">
        <v>46067.0</v>
      </c>
      <c r="L52" s="16">
        <v>46067.13888888889</v>
      </c>
      <c r="M52" s="16">
        <v>46067.15555555555</v>
      </c>
      <c r="N52" s="19">
        <v>46068.47222222222</v>
      </c>
      <c r="O52" s="5"/>
      <c r="P52" s="9">
        <v>46070.0</v>
      </c>
      <c r="Q52" s="4" t="s">
        <v>273</v>
      </c>
      <c r="R52" s="4" t="s">
        <v>64</v>
      </c>
      <c r="S52" s="4" t="s">
        <v>64</v>
      </c>
      <c r="T52" s="11" t="s">
        <v>35</v>
      </c>
      <c r="U52" s="4" t="s">
        <v>65</v>
      </c>
      <c r="V52" s="5"/>
      <c r="W52" s="5"/>
      <c r="X52" s="5"/>
      <c r="Y52" s="9">
        <v>46071.0</v>
      </c>
      <c r="Z52" s="9">
        <v>46080.0</v>
      </c>
      <c r="AA52" s="9">
        <v>46080.0</v>
      </c>
    </row>
    <row r="53">
      <c r="A53" s="4" t="s">
        <v>269</v>
      </c>
      <c r="B53" s="4" t="s">
        <v>274</v>
      </c>
      <c r="C53" s="4">
        <v>46.23</v>
      </c>
      <c r="D53" s="5"/>
      <c r="E53" s="4" t="s">
        <v>275</v>
      </c>
      <c r="F53" s="4" t="s">
        <v>89</v>
      </c>
      <c r="G53" s="4" t="s">
        <v>182</v>
      </c>
      <c r="H53" s="5"/>
      <c r="I53" s="11" t="s">
        <v>54</v>
      </c>
      <c r="J53" s="5"/>
      <c r="K53" s="16">
        <v>46067.0</v>
      </c>
      <c r="L53" s="16">
        <v>46067.13888888889</v>
      </c>
      <c r="M53" s="16">
        <v>46067.15555555555</v>
      </c>
      <c r="N53" s="19">
        <v>46068.47222222222</v>
      </c>
      <c r="O53" s="5"/>
      <c r="P53" s="9">
        <v>46070.0</v>
      </c>
      <c r="Q53" s="4" t="s">
        <v>215</v>
      </c>
      <c r="R53" s="4" t="s">
        <v>64</v>
      </c>
      <c r="S53" s="4" t="s">
        <v>64</v>
      </c>
      <c r="T53" s="11" t="s">
        <v>35</v>
      </c>
      <c r="U53" s="4" t="s">
        <v>276</v>
      </c>
      <c r="V53" s="5"/>
      <c r="W53" s="5"/>
      <c r="X53" s="5"/>
      <c r="Y53" s="9">
        <v>46070.0</v>
      </c>
      <c r="Z53" s="9">
        <v>46073.0</v>
      </c>
      <c r="AA53" s="9">
        <v>46073.0</v>
      </c>
    </row>
    <row r="54">
      <c r="A54" s="4" t="s">
        <v>269</v>
      </c>
      <c r="B54" s="4" t="s">
        <v>277</v>
      </c>
      <c r="C54" s="4">
        <v>65.2</v>
      </c>
      <c r="D54" s="5"/>
      <c r="E54" s="4" t="s">
        <v>275</v>
      </c>
      <c r="F54" s="4" t="s">
        <v>89</v>
      </c>
      <c r="G54" s="4" t="s">
        <v>182</v>
      </c>
      <c r="H54" s="5"/>
      <c r="I54" s="11" t="s">
        <v>54</v>
      </c>
      <c r="J54" s="5"/>
      <c r="K54" s="16">
        <v>46067.0</v>
      </c>
      <c r="L54" s="16">
        <v>46067.13888888889</v>
      </c>
      <c r="M54" s="16">
        <v>46067.15555555555</v>
      </c>
      <c r="N54" s="19">
        <v>46068.47222222222</v>
      </c>
      <c r="O54" s="5"/>
      <c r="P54" s="9">
        <v>46070.0</v>
      </c>
      <c r="Q54" s="4" t="s">
        <v>215</v>
      </c>
      <c r="R54" s="4" t="s">
        <v>64</v>
      </c>
      <c r="S54" s="4" t="s">
        <v>64</v>
      </c>
      <c r="T54" s="11" t="s">
        <v>35</v>
      </c>
      <c r="U54" s="4" t="s">
        <v>82</v>
      </c>
      <c r="V54" s="5"/>
      <c r="W54" s="5"/>
      <c r="X54" s="5"/>
      <c r="Y54" s="9">
        <v>46070.0</v>
      </c>
      <c r="Z54" s="9">
        <v>46072.0</v>
      </c>
      <c r="AA54" s="9">
        <v>46072.0</v>
      </c>
    </row>
    <row r="55">
      <c r="A55" s="4" t="s">
        <v>269</v>
      </c>
      <c r="B55" s="4" t="s">
        <v>278</v>
      </c>
      <c r="C55" s="4">
        <v>146.24</v>
      </c>
      <c r="D55" s="5"/>
      <c r="E55" s="4" t="s">
        <v>275</v>
      </c>
      <c r="F55" s="4" t="s">
        <v>89</v>
      </c>
      <c r="G55" s="4" t="s">
        <v>182</v>
      </c>
      <c r="H55" s="5"/>
      <c r="I55" s="11" t="s">
        <v>54</v>
      </c>
      <c r="J55" s="5"/>
      <c r="K55" s="16">
        <v>46067.0</v>
      </c>
      <c r="L55" s="16">
        <v>46067.13888888889</v>
      </c>
      <c r="M55" s="16">
        <v>46067.15555555555</v>
      </c>
      <c r="N55" s="19">
        <v>46068.47222222222</v>
      </c>
      <c r="O55" s="5"/>
      <c r="P55" s="9">
        <v>46070.0</v>
      </c>
      <c r="Q55" s="4" t="s">
        <v>189</v>
      </c>
      <c r="R55" s="4" t="s">
        <v>64</v>
      </c>
      <c r="S55" s="4" t="s">
        <v>64</v>
      </c>
      <c r="T55" s="11" t="s">
        <v>35</v>
      </c>
      <c r="U55" s="4" t="s">
        <v>94</v>
      </c>
      <c r="V55" s="5"/>
      <c r="W55" s="5"/>
      <c r="X55" s="5"/>
      <c r="Y55" s="9">
        <v>46070.0</v>
      </c>
      <c r="Z55" s="9">
        <v>46077.0</v>
      </c>
      <c r="AA55" s="9">
        <v>46077.0</v>
      </c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8"/>
      <c r="L56" s="8"/>
      <c r="M56" s="8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10"/>
      <c r="Z56" s="5"/>
      <c r="AA56" s="5"/>
    </row>
    <row r="57">
      <c r="A57" s="4" t="s">
        <v>279</v>
      </c>
      <c r="B57" s="4" t="s">
        <v>280</v>
      </c>
      <c r="C57" s="4">
        <v>925.0</v>
      </c>
      <c r="D57" s="5"/>
      <c r="E57" s="4" t="s">
        <v>40</v>
      </c>
      <c r="F57" s="4" t="s">
        <v>281</v>
      </c>
      <c r="G57" s="4" t="s">
        <v>182</v>
      </c>
      <c r="H57" s="5"/>
      <c r="I57" s="11" t="s">
        <v>54</v>
      </c>
      <c r="J57" s="5"/>
      <c r="K57" s="8"/>
      <c r="L57" s="8"/>
      <c r="M57" s="8"/>
      <c r="N57" s="5"/>
      <c r="O57" s="5"/>
      <c r="P57" s="9">
        <v>46071.0</v>
      </c>
      <c r="Q57" s="4" t="s">
        <v>225</v>
      </c>
      <c r="R57" s="4" t="s">
        <v>73</v>
      </c>
      <c r="S57" s="4" t="s">
        <v>282</v>
      </c>
      <c r="T57" s="4" t="s">
        <v>75</v>
      </c>
      <c r="U57" s="4" t="s">
        <v>283</v>
      </c>
      <c r="V57" s="4" t="s">
        <v>284</v>
      </c>
      <c r="W57" s="4" t="s">
        <v>285</v>
      </c>
      <c r="X57" s="11" t="s">
        <v>35</v>
      </c>
      <c r="Y57" s="9">
        <v>46071.0</v>
      </c>
      <c r="Z57" s="9">
        <v>46071.0</v>
      </c>
      <c r="AA57" s="9">
        <v>46071.0</v>
      </c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8"/>
      <c r="L58" s="8"/>
      <c r="M58" s="8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1" t="s">
        <v>286</v>
      </c>
      <c r="B59" s="4" t="s">
        <v>287</v>
      </c>
      <c r="C59" s="4">
        <v>85.0</v>
      </c>
      <c r="D59" s="5"/>
      <c r="E59" s="4" t="s">
        <v>288</v>
      </c>
      <c r="F59" s="4" t="s">
        <v>89</v>
      </c>
      <c r="G59" s="4" t="s">
        <v>182</v>
      </c>
      <c r="H59" s="5"/>
      <c r="I59" s="5"/>
      <c r="J59" s="5"/>
      <c r="K59" s="8"/>
      <c r="L59" s="8"/>
      <c r="M59" s="8"/>
      <c r="N59" s="5"/>
      <c r="O59" s="5"/>
      <c r="P59" s="5"/>
      <c r="Q59" s="4" t="s">
        <v>215</v>
      </c>
      <c r="R59" s="4" t="s">
        <v>64</v>
      </c>
      <c r="S59" s="5"/>
      <c r="T59" s="11" t="s">
        <v>35</v>
      </c>
      <c r="U59" s="4" t="s">
        <v>289</v>
      </c>
      <c r="V59" s="4" t="s">
        <v>290</v>
      </c>
      <c r="W59" s="5"/>
      <c r="X59" s="5"/>
      <c r="Y59" s="5"/>
      <c r="Z59" s="5"/>
      <c r="AA59" s="5"/>
    </row>
    <row r="60">
      <c r="A60" s="5"/>
      <c r="B60" s="4" t="s">
        <v>291</v>
      </c>
      <c r="C60" s="4">
        <v>173.09</v>
      </c>
      <c r="D60" s="5"/>
      <c r="E60" s="15" t="s">
        <v>292</v>
      </c>
      <c r="F60" s="4" t="s">
        <v>89</v>
      </c>
      <c r="G60" s="4" t="s">
        <v>182</v>
      </c>
      <c r="H60" s="5"/>
      <c r="I60" s="5"/>
      <c r="J60" s="5"/>
      <c r="K60" s="8"/>
      <c r="L60" s="8"/>
      <c r="M60" s="8"/>
      <c r="N60" s="5"/>
      <c r="O60" s="5"/>
      <c r="P60" s="5"/>
      <c r="Q60" s="4" t="s">
        <v>117</v>
      </c>
      <c r="R60" s="4" t="s">
        <v>293</v>
      </c>
      <c r="S60" s="5"/>
      <c r="T60" s="5"/>
      <c r="U60" s="4" t="s">
        <v>58</v>
      </c>
      <c r="V60" s="4" t="s">
        <v>294</v>
      </c>
      <c r="W60" s="5"/>
      <c r="X60" s="5"/>
      <c r="Y60" s="5"/>
      <c r="Z60" s="5"/>
      <c r="AA60" s="5"/>
    </row>
    <row r="61">
      <c r="A61" s="5"/>
      <c r="B61" s="4" t="s">
        <v>295</v>
      </c>
      <c r="C61" s="4">
        <v>172.77</v>
      </c>
      <c r="D61" s="5"/>
      <c r="E61" s="15" t="s">
        <v>296</v>
      </c>
      <c r="F61" s="4" t="s">
        <v>89</v>
      </c>
      <c r="G61" s="4" t="s">
        <v>182</v>
      </c>
      <c r="H61" s="5"/>
      <c r="I61" s="5"/>
      <c r="J61" s="5"/>
      <c r="K61" s="8"/>
      <c r="L61" s="8"/>
      <c r="M61" s="8"/>
      <c r="N61" s="5"/>
      <c r="O61" s="5"/>
      <c r="P61" s="5"/>
      <c r="Q61" s="4" t="s">
        <v>189</v>
      </c>
      <c r="R61" s="4" t="s">
        <v>64</v>
      </c>
      <c r="S61" s="5"/>
      <c r="T61" s="5"/>
      <c r="U61" s="4" t="s">
        <v>297</v>
      </c>
      <c r="V61" s="5"/>
      <c r="W61" s="5"/>
      <c r="X61" s="5"/>
      <c r="Y61" s="5"/>
      <c r="Z61" s="5"/>
      <c r="AA61" s="5"/>
    </row>
    <row r="62">
      <c r="A62" s="5"/>
      <c r="B62" s="4" t="s">
        <v>298</v>
      </c>
      <c r="C62" s="4">
        <v>114.0</v>
      </c>
      <c r="D62" s="5"/>
      <c r="E62" s="15" t="s">
        <v>299</v>
      </c>
      <c r="F62" s="4" t="s">
        <v>89</v>
      </c>
      <c r="G62" s="4" t="s">
        <v>182</v>
      </c>
      <c r="H62" s="5"/>
      <c r="I62" s="5"/>
      <c r="J62" s="5"/>
      <c r="K62" s="8"/>
      <c r="L62" s="8"/>
      <c r="M62" s="8"/>
      <c r="N62" s="5"/>
      <c r="O62" s="5"/>
      <c r="P62" s="5"/>
      <c r="Q62" s="4" t="s">
        <v>300</v>
      </c>
      <c r="R62" s="4" t="s">
        <v>64</v>
      </c>
      <c r="S62" s="5"/>
      <c r="T62" s="5"/>
      <c r="U62" s="4" t="s">
        <v>301</v>
      </c>
      <c r="V62" s="5"/>
      <c r="W62" s="5"/>
      <c r="X62" s="5"/>
      <c r="Y62" s="5"/>
      <c r="Z62" s="5"/>
      <c r="AA62" s="5"/>
    </row>
    <row r="63">
      <c r="A63" s="5"/>
      <c r="B63" s="4" t="s">
        <v>302</v>
      </c>
      <c r="C63" s="4">
        <v>118.4</v>
      </c>
      <c r="D63" s="5"/>
      <c r="E63" s="15" t="s">
        <v>133</v>
      </c>
      <c r="F63" s="4" t="s">
        <v>89</v>
      </c>
      <c r="G63" s="4" t="s">
        <v>182</v>
      </c>
      <c r="H63" s="5"/>
      <c r="I63" s="5"/>
      <c r="J63" s="5"/>
      <c r="K63" s="8"/>
      <c r="L63" s="8"/>
      <c r="M63" s="8"/>
      <c r="N63" s="5"/>
      <c r="O63" s="5"/>
      <c r="P63" s="5"/>
      <c r="Q63" s="4" t="s">
        <v>300</v>
      </c>
      <c r="R63" s="4" t="s">
        <v>64</v>
      </c>
      <c r="S63" s="5"/>
      <c r="T63" s="5"/>
      <c r="U63" s="4" t="s">
        <v>303</v>
      </c>
      <c r="V63" s="5"/>
      <c r="W63" s="5"/>
      <c r="X63" s="5"/>
      <c r="Y63" s="5"/>
      <c r="Z63" s="5"/>
      <c r="AA63" s="5"/>
    </row>
    <row r="64">
      <c r="A64" s="5"/>
      <c r="B64" s="4" t="s">
        <v>304</v>
      </c>
      <c r="C64" s="4">
        <v>385.0</v>
      </c>
      <c r="D64" s="5"/>
      <c r="E64" s="15" t="s">
        <v>305</v>
      </c>
      <c r="F64" s="4" t="s">
        <v>89</v>
      </c>
      <c r="G64" s="4" t="s">
        <v>182</v>
      </c>
      <c r="H64" s="5"/>
      <c r="I64" s="5"/>
      <c r="J64" s="5"/>
      <c r="K64" s="8"/>
      <c r="L64" s="8"/>
      <c r="M64" s="8"/>
      <c r="N64" s="5"/>
      <c r="O64" s="5"/>
      <c r="P64" s="5"/>
      <c r="Q64" s="4" t="s">
        <v>306</v>
      </c>
      <c r="R64" s="4" t="s">
        <v>307</v>
      </c>
      <c r="S64" s="5"/>
      <c r="T64" s="5"/>
      <c r="U64" s="4" t="s">
        <v>82</v>
      </c>
      <c r="V64" s="4" t="s">
        <v>308</v>
      </c>
      <c r="W64" s="5"/>
      <c r="X64" s="5"/>
      <c r="Y64" s="5"/>
      <c r="Z64" s="5"/>
      <c r="AA64" s="5"/>
    </row>
    <row r="65">
      <c r="A65" s="29"/>
      <c r="B65" s="30" t="s">
        <v>309</v>
      </c>
      <c r="C65" s="30">
        <v>138.5</v>
      </c>
      <c r="D65" s="29"/>
      <c r="E65" s="30" t="s">
        <v>310</v>
      </c>
      <c r="F65" s="30" t="s">
        <v>311</v>
      </c>
      <c r="G65" s="30" t="s">
        <v>312</v>
      </c>
      <c r="H65" s="29"/>
      <c r="I65" s="29"/>
      <c r="J65" s="29"/>
      <c r="K65" s="31"/>
      <c r="L65" s="31"/>
      <c r="M65" s="31"/>
      <c r="N65" s="29"/>
      <c r="O65" s="29"/>
      <c r="P65" s="29"/>
      <c r="Q65" s="30" t="s">
        <v>81</v>
      </c>
      <c r="R65" s="30" t="s">
        <v>64</v>
      </c>
      <c r="S65" s="29"/>
      <c r="T65" s="29"/>
      <c r="U65" s="30" t="s">
        <v>313</v>
      </c>
      <c r="V65" s="30" t="s">
        <v>314</v>
      </c>
      <c r="W65" s="29"/>
      <c r="X65" s="29"/>
      <c r="Y65" s="29"/>
      <c r="Z65" s="29"/>
      <c r="AA65" s="29"/>
    </row>
    <row r="66">
      <c r="A66" s="5"/>
      <c r="B66" s="4" t="s">
        <v>315</v>
      </c>
      <c r="C66" s="4">
        <v>989.0</v>
      </c>
      <c r="D66" s="5"/>
      <c r="E66" s="15" t="s">
        <v>316</v>
      </c>
      <c r="F66" s="4" t="s">
        <v>317</v>
      </c>
      <c r="G66" s="4" t="s">
        <v>182</v>
      </c>
      <c r="H66" s="5"/>
      <c r="I66" s="5"/>
      <c r="J66" s="5"/>
      <c r="K66" s="8"/>
      <c r="L66" s="8"/>
      <c r="M66" s="8"/>
      <c r="N66" s="5"/>
      <c r="O66" s="5"/>
      <c r="P66" s="5"/>
      <c r="Q66" s="4" t="s">
        <v>318</v>
      </c>
      <c r="R66" s="4" t="s">
        <v>319</v>
      </c>
      <c r="S66" s="5"/>
      <c r="T66" s="5"/>
      <c r="U66" s="4" t="s">
        <v>320</v>
      </c>
      <c r="V66" s="4" t="s">
        <v>321</v>
      </c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8"/>
      <c r="L67" s="8"/>
      <c r="M67" s="8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4" t="s">
        <v>322</v>
      </c>
      <c r="B68" s="4" t="s">
        <v>323</v>
      </c>
      <c r="C68" s="4">
        <v>10336.0</v>
      </c>
      <c r="D68" s="5"/>
      <c r="E68" s="4" t="s">
        <v>324</v>
      </c>
      <c r="F68" s="4" t="s">
        <v>259</v>
      </c>
      <c r="G68" s="4" t="s">
        <v>182</v>
      </c>
      <c r="H68" s="11" t="s">
        <v>173</v>
      </c>
      <c r="I68" s="11" t="s">
        <v>54</v>
      </c>
      <c r="J68" s="5"/>
      <c r="K68" s="8"/>
      <c r="L68" s="8"/>
      <c r="M68" s="8"/>
      <c r="N68" s="5"/>
      <c r="O68" s="5"/>
      <c r="P68" s="9">
        <v>46077.0</v>
      </c>
      <c r="Q68" s="4" t="s">
        <v>325</v>
      </c>
      <c r="R68" s="4" t="s">
        <v>73</v>
      </c>
      <c r="S68" s="4" t="s">
        <v>326</v>
      </c>
      <c r="T68" s="4" t="s">
        <v>57</v>
      </c>
      <c r="U68" s="4" t="s">
        <v>327</v>
      </c>
      <c r="V68" s="5"/>
      <c r="W68" s="4" t="s">
        <v>328</v>
      </c>
      <c r="X68" s="5"/>
      <c r="Y68" s="9">
        <v>46077.0</v>
      </c>
      <c r="Z68" s="9">
        <v>46077.0</v>
      </c>
      <c r="AA68" s="9">
        <v>46078.0</v>
      </c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8"/>
      <c r="L69" s="8"/>
      <c r="M69" s="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4" t="s">
        <v>329</v>
      </c>
      <c r="B70" s="4" t="s">
        <v>330</v>
      </c>
      <c r="C70" s="4">
        <v>83.34</v>
      </c>
      <c r="D70" s="5"/>
      <c r="E70" s="4" t="s">
        <v>331</v>
      </c>
      <c r="F70" s="4" t="s">
        <v>89</v>
      </c>
      <c r="G70" s="4" t="s">
        <v>182</v>
      </c>
      <c r="H70" s="5"/>
      <c r="I70" s="5"/>
      <c r="J70" s="5"/>
      <c r="K70" s="8"/>
      <c r="L70" s="8"/>
      <c r="M70" s="8"/>
      <c r="N70" s="5"/>
      <c r="O70" s="5"/>
      <c r="P70" s="5"/>
      <c r="Q70" s="4" t="s">
        <v>81</v>
      </c>
      <c r="R70" s="4" t="s">
        <v>64</v>
      </c>
      <c r="S70" s="5"/>
      <c r="T70" s="5"/>
      <c r="U70" s="4" t="s">
        <v>94</v>
      </c>
      <c r="V70" s="4" t="s">
        <v>332</v>
      </c>
      <c r="W70" s="5"/>
      <c r="X70" s="5"/>
      <c r="Y70" s="5"/>
      <c r="Z70" s="5"/>
      <c r="AA70" s="5"/>
    </row>
    <row r="71">
      <c r="A71" s="5"/>
      <c r="B71" s="4" t="s">
        <v>333</v>
      </c>
      <c r="C71" s="4">
        <v>171.0</v>
      </c>
      <c r="D71" s="5"/>
      <c r="E71" s="4" t="s">
        <v>334</v>
      </c>
      <c r="F71" s="4" t="s">
        <v>89</v>
      </c>
      <c r="G71" s="4" t="s">
        <v>182</v>
      </c>
      <c r="H71" s="5"/>
      <c r="I71" s="5"/>
      <c r="J71" s="5"/>
      <c r="K71" s="8"/>
      <c r="L71" s="8"/>
      <c r="M71" s="8"/>
      <c r="N71" s="5"/>
      <c r="O71" s="5"/>
      <c r="P71" s="5"/>
      <c r="Q71" s="4" t="s">
        <v>166</v>
      </c>
      <c r="R71" s="4" t="s">
        <v>335</v>
      </c>
      <c r="S71" s="5"/>
      <c r="T71" s="5"/>
      <c r="U71" s="4" t="s">
        <v>211</v>
      </c>
      <c r="V71" s="4" t="s">
        <v>336</v>
      </c>
      <c r="W71" s="5"/>
      <c r="X71" s="5"/>
      <c r="Y71" s="5"/>
      <c r="Z71" s="5"/>
      <c r="AA71" s="5"/>
    </row>
    <row r="72">
      <c r="A72" s="5"/>
      <c r="B72" s="4" t="s">
        <v>337</v>
      </c>
      <c r="C72" s="4">
        <v>390.2</v>
      </c>
      <c r="D72" s="5"/>
      <c r="E72" s="4" t="s">
        <v>338</v>
      </c>
      <c r="F72" s="4" t="s">
        <v>89</v>
      </c>
      <c r="G72" s="4" t="s">
        <v>182</v>
      </c>
      <c r="H72" s="5"/>
      <c r="I72" s="5"/>
      <c r="J72" s="5"/>
      <c r="K72" s="8"/>
      <c r="L72" s="8"/>
      <c r="M72" s="8"/>
      <c r="N72" s="5"/>
      <c r="O72" s="5"/>
      <c r="P72" s="5"/>
      <c r="Q72" s="4" t="s">
        <v>339</v>
      </c>
      <c r="R72" s="4" t="s">
        <v>340</v>
      </c>
      <c r="S72" s="5"/>
      <c r="T72" s="5"/>
      <c r="U72" s="4" t="s">
        <v>341</v>
      </c>
      <c r="V72" s="4" t="s">
        <v>342</v>
      </c>
      <c r="W72" s="5"/>
      <c r="X72" s="5"/>
      <c r="Y72" s="5"/>
      <c r="Z72" s="5"/>
      <c r="AA72" s="5"/>
    </row>
    <row r="73">
      <c r="A73" s="5"/>
      <c r="B73" s="4" t="s">
        <v>343</v>
      </c>
      <c r="C73" s="4">
        <v>422.0</v>
      </c>
      <c r="D73" s="5"/>
      <c r="E73" s="4" t="s">
        <v>344</v>
      </c>
      <c r="F73" s="4" t="s">
        <v>139</v>
      </c>
      <c r="G73" s="4" t="s">
        <v>312</v>
      </c>
      <c r="H73" s="5"/>
      <c r="I73" s="5"/>
      <c r="J73" s="5"/>
      <c r="K73" s="8"/>
      <c r="L73" s="8"/>
      <c r="M73" s="8"/>
      <c r="N73" s="5"/>
      <c r="O73" s="5"/>
      <c r="P73" s="5"/>
      <c r="Q73" s="4" t="s">
        <v>345</v>
      </c>
      <c r="R73" s="4" t="s">
        <v>346</v>
      </c>
      <c r="S73" s="5"/>
      <c r="T73" s="5"/>
      <c r="U73" s="4" t="s">
        <v>142</v>
      </c>
      <c r="V73" s="4" t="s">
        <v>347</v>
      </c>
      <c r="W73" s="5"/>
      <c r="X73" s="5"/>
      <c r="Y73" s="5"/>
      <c r="Z73" s="5"/>
      <c r="AA73" s="5"/>
    </row>
    <row r="74">
      <c r="A74" s="5"/>
      <c r="B74" s="4" t="s">
        <v>348</v>
      </c>
      <c r="C74" s="4">
        <v>72.1</v>
      </c>
      <c r="D74" s="5"/>
      <c r="E74" s="4" t="s">
        <v>349</v>
      </c>
      <c r="F74" s="4" t="s">
        <v>89</v>
      </c>
      <c r="G74" s="4" t="s">
        <v>182</v>
      </c>
      <c r="H74" s="5"/>
      <c r="I74" s="5"/>
      <c r="J74" s="5"/>
      <c r="K74" s="8"/>
      <c r="L74" s="8"/>
      <c r="M74" s="8"/>
      <c r="N74" s="5"/>
      <c r="O74" s="5"/>
      <c r="P74" s="5"/>
      <c r="Q74" s="4" t="s">
        <v>81</v>
      </c>
      <c r="R74" s="4" t="s">
        <v>64</v>
      </c>
      <c r="S74" s="5"/>
      <c r="T74" s="5"/>
      <c r="U74" s="4" t="s">
        <v>82</v>
      </c>
      <c r="V74" s="4" t="s">
        <v>350</v>
      </c>
      <c r="W74" s="5"/>
      <c r="X74" s="5"/>
      <c r="Y74" s="5"/>
      <c r="Z74" s="5"/>
      <c r="AA74" s="5"/>
    </row>
    <row r="75">
      <c r="A75" s="5"/>
      <c r="B75" s="4" t="s">
        <v>351</v>
      </c>
      <c r="C75" s="4">
        <v>163.7</v>
      </c>
      <c r="D75" s="5"/>
      <c r="E75" s="4" t="s">
        <v>352</v>
      </c>
      <c r="F75" s="4" t="s">
        <v>89</v>
      </c>
      <c r="G75" s="4" t="s">
        <v>182</v>
      </c>
      <c r="H75" s="5"/>
      <c r="I75" s="5"/>
      <c r="J75" s="5"/>
      <c r="K75" s="8"/>
      <c r="L75" s="8"/>
      <c r="M75" s="8"/>
      <c r="N75" s="5"/>
      <c r="O75" s="5"/>
      <c r="P75" s="5"/>
      <c r="Q75" s="4" t="s">
        <v>162</v>
      </c>
      <c r="R75" s="4" t="s">
        <v>64</v>
      </c>
      <c r="S75" s="5"/>
      <c r="T75" s="5"/>
      <c r="U75" s="4" t="s">
        <v>353</v>
      </c>
      <c r="V75" s="4" t="s">
        <v>354</v>
      </c>
      <c r="W75" s="5"/>
      <c r="X75" s="5"/>
      <c r="Y75" s="5"/>
      <c r="Z75" s="5"/>
      <c r="AA75" s="5"/>
    </row>
    <row r="76">
      <c r="A76" s="5"/>
      <c r="B76" s="4" t="s">
        <v>355</v>
      </c>
      <c r="C76" s="4">
        <v>153.6</v>
      </c>
      <c r="D76" s="5"/>
      <c r="E76" s="4" t="s">
        <v>356</v>
      </c>
      <c r="F76" s="4" t="s">
        <v>89</v>
      </c>
      <c r="G76" s="4" t="s">
        <v>182</v>
      </c>
      <c r="H76" s="5"/>
      <c r="I76" s="5"/>
      <c r="J76" s="5"/>
      <c r="K76" s="8"/>
      <c r="L76" s="8"/>
      <c r="M76" s="8"/>
      <c r="N76" s="5"/>
      <c r="O76" s="5"/>
      <c r="P76" s="5"/>
      <c r="Q76" s="4" t="s">
        <v>117</v>
      </c>
      <c r="R76" s="4" t="s">
        <v>335</v>
      </c>
      <c r="S76" s="5"/>
      <c r="T76" s="5"/>
      <c r="U76" s="4" t="s">
        <v>357</v>
      </c>
      <c r="V76" s="4" t="s">
        <v>358</v>
      </c>
      <c r="W76" s="5"/>
      <c r="X76" s="5"/>
      <c r="Y76" s="5"/>
      <c r="Z76" s="5"/>
      <c r="AA76" s="5"/>
    </row>
    <row r="77">
      <c r="A77" s="5"/>
      <c r="B77" s="4" t="s">
        <v>359</v>
      </c>
      <c r="C77" s="4">
        <v>670.0</v>
      </c>
      <c r="D77" s="5"/>
      <c r="E77" s="4" t="s">
        <v>360</v>
      </c>
      <c r="F77" s="4" t="s">
        <v>361</v>
      </c>
      <c r="G77" s="4" t="s">
        <v>182</v>
      </c>
      <c r="H77" s="5"/>
      <c r="I77" s="5"/>
      <c r="J77" s="5"/>
      <c r="K77" s="8"/>
      <c r="L77" s="8"/>
      <c r="M77" s="8"/>
      <c r="N77" s="5"/>
      <c r="O77" s="5"/>
      <c r="P77" s="5"/>
      <c r="Q77" s="4" t="s">
        <v>362</v>
      </c>
      <c r="R77" s="4" t="s">
        <v>346</v>
      </c>
      <c r="S77" s="5"/>
      <c r="T77" s="5"/>
      <c r="U77" s="4" t="s">
        <v>363</v>
      </c>
      <c r="V77" s="4" t="s">
        <v>364</v>
      </c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8"/>
      <c r="L78" s="8"/>
      <c r="M78" s="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4" t="s">
        <v>365</v>
      </c>
      <c r="B79" s="4" t="s">
        <v>366</v>
      </c>
      <c r="C79" s="5"/>
      <c r="D79" s="5"/>
      <c r="E79" s="4" t="s">
        <v>367</v>
      </c>
      <c r="F79" s="5"/>
      <c r="G79" s="5"/>
      <c r="H79" s="5"/>
      <c r="I79" s="5"/>
      <c r="J79" s="5"/>
      <c r="K79" s="8"/>
      <c r="L79" s="8"/>
      <c r="M79" s="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4" t="s">
        <v>368</v>
      </c>
      <c r="C80" s="5"/>
      <c r="D80" s="5"/>
      <c r="E80" s="4" t="s">
        <v>369</v>
      </c>
      <c r="F80" s="5"/>
      <c r="G80" s="5"/>
      <c r="H80" s="5"/>
      <c r="I80" s="5"/>
      <c r="J80" s="5"/>
      <c r="K80" s="8"/>
      <c r="L80" s="8"/>
      <c r="M80" s="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8"/>
      <c r="L81" s="8"/>
      <c r="M81" s="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4" t="s">
        <v>370</v>
      </c>
      <c r="B82" s="4" t="s">
        <v>371</v>
      </c>
      <c r="C82" s="4">
        <v>150.0</v>
      </c>
      <c r="D82" s="5"/>
      <c r="E82" s="4" t="s">
        <v>372</v>
      </c>
      <c r="F82" s="4" t="s">
        <v>89</v>
      </c>
      <c r="G82" s="5"/>
      <c r="H82" s="5"/>
      <c r="I82" s="5"/>
      <c r="J82" s="5"/>
      <c r="K82" s="8"/>
      <c r="L82" s="8"/>
      <c r="M82" s="8"/>
      <c r="N82" s="5"/>
      <c r="O82" s="5"/>
      <c r="P82" s="5"/>
      <c r="Q82" s="4" t="s">
        <v>300</v>
      </c>
      <c r="R82" s="4" t="s">
        <v>64</v>
      </c>
      <c r="S82" s="5"/>
      <c r="T82" s="5"/>
      <c r="U82" s="4" t="s">
        <v>303</v>
      </c>
      <c r="V82" s="4" t="s">
        <v>373</v>
      </c>
      <c r="W82" s="5"/>
      <c r="X82" s="5"/>
      <c r="Y82" s="5"/>
      <c r="Z82" s="5"/>
      <c r="AA82" s="5"/>
    </row>
    <row r="83">
      <c r="A83" s="4" t="s">
        <v>370</v>
      </c>
      <c r="B83" s="4" t="s">
        <v>374</v>
      </c>
      <c r="C83" s="4">
        <v>161.38</v>
      </c>
      <c r="D83" s="5"/>
      <c r="E83" s="4" t="s">
        <v>375</v>
      </c>
      <c r="F83" s="4" t="s">
        <v>89</v>
      </c>
      <c r="G83" s="5"/>
      <c r="H83" s="5"/>
      <c r="I83" s="5"/>
      <c r="J83" s="5"/>
      <c r="K83" s="8"/>
      <c r="L83" s="8"/>
      <c r="M83" s="8"/>
      <c r="N83" s="5"/>
      <c r="O83" s="5"/>
      <c r="P83" s="5"/>
      <c r="Q83" s="4" t="s">
        <v>162</v>
      </c>
      <c r="R83" s="4" t="s">
        <v>64</v>
      </c>
      <c r="S83" s="5"/>
      <c r="T83" s="5"/>
      <c r="U83" s="4" t="s">
        <v>303</v>
      </c>
      <c r="V83" s="4" t="s">
        <v>376</v>
      </c>
      <c r="W83" s="5"/>
      <c r="X83" s="5"/>
      <c r="Y83" s="5"/>
      <c r="Z83" s="5"/>
      <c r="AA83" s="5"/>
    </row>
    <row r="84">
      <c r="A84" s="4" t="s">
        <v>370</v>
      </c>
      <c r="B84" s="4" t="s">
        <v>377</v>
      </c>
      <c r="C84" s="4">
        <v>260.0</v>
      </c>
      <c r="D84" s="5"/>
      <c r="E84" s="4" t="s">
        <v>378</v>
      </c>
      <c r="F84" s="4" t="s">
        <v>89</v>
      </c>
      <c r="G84" s="4" t="s">
        <v>182</v>
      </c>
      <c r="H84" s="5"/>
      <c r="I84" s="5"/>
      <c r="J84" s="5"/>
      <c r="K84" s="8"/>
      <c r="L84" s="8"/>
      <c r="M84" s="8"/>
      <c r="N84" s="5"/>
      <c r="O84" s="5"/>
      <c r="P84" s="5"/>
      <c r="Q84" s="4" t="s">
        <v>379</v>
      </c>
      <c r="R84" s="4" t="s">
        <v>380</v>
      </c>
      <c r="S84" s="5"/>
      <c r="T84" s="5"/>
      <c r="U84" s="4" t="s">
        <v>211</v>
      </c>
      <c r="V84" s="4" t="s">
        <v>381</v>
      </c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8"/>
      <c r="L85" s="8"/>
      <c r="M85" s="8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8"/>
      <c r="L86" s="8"/>
      <c r="M86" s="8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8"/>
      <c r="L87" s="8"/>
      <c r="M87" s="8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8"/>
      <c r="L88" s="8"/>
      <c r="M88" s="8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8"/>
      <c r="L89" s="8"/>
      <c r="M89" s="8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8"/>
      <c r="L90" s="8"/>
      <c r="M90" s="8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8"/>
      <c r="L91" s="8"/>
      <c r="M91" s="8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8"/>
      <c r="L92" s="8"/>
      <c r="M92" s="8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8"/>
      <c r="L93" s="8"/>
      <c r="M93" s="8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8"/>
      <c r="L94" s="8"/>
      <c r="M94" s="8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8"/>
      <c r="L95" s="8"/>
      <c r="M95" s="8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8"/>
      <c r="L96" s="8"/>
      <c r="M96" s="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8"/>
      <c r="L97" s="8"/>
      <c r="M97" s="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8"/>
      <c r="L98" s="8"/>
      <c r="M98" s="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8"/>
      <c r="L99" s="8"/>
      <c r="M99" s="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8"/>
      <c r="L100" s="8"/>
      <c r="M100" s="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8"/>
      <c r="L101" s="8"/>
      <c r="M101" s="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8"/>
      <c r="L102" s="8"/>
      <c r="M102" s="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8"/>
      <c r="L103" s="8"/>
      <c r="M103" s="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8"/>
      <c r="L104" s="8"/>
      <c r="M104" s="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8"/>
      <c r="L105" s="8"/>
      <c r="M105" s="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8"/>
      <c r="L106" s="8"/>
      <c r="M106" s="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8"/>
      <c r="L107" s="8"/>
      <c r="M107" s="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8"/>
      <c r="L108" s="8"/>
      <c r="M108" s="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8"/>
      <c r="L109" s="8"/>
      <c r="M109" s="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8"/>
      <c r="L110" s="8"/>
      <c r="M110" s="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8"/>
      <c r="L111" s="8"/>
      <c r="M111" s="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8"/>
      <c r="L112" s="8"/>
      <c r="M112" s="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8"/>
      <c r="L113" s="8"/>
      <c r="M113" s="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8"/>
      <c r="L114" s="8"/>
      <c r="M114" s="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8"/>
      <c r="L115" s="8"/>
      <c r="M115" s="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8"/>
      <c r="L116" s="8"/>
      <c r="M116" s="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8"/>
      <c r="L117" s="8"/>
      <c r="M117" s="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8"/>
      <c r="L118" s="8"/>
      <c r="M118" s="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8"/>
      <c r="L119" s="8"/>
      <c r="M119" s="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8"/>
      <c r="L120" s="8"/>
      <c r="M120" s="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8"/>
      <c r="L121" s="8"/>
      <c r="M121" s="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8"/>
      <c r="L122" s="8"/>
      <c r="M122" s="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8"/>
      <c r="L123" s="8"/>
      <c r="M123" s="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8"/>
      <c r="L124" s="8"/>
      <c r="M124" s="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8"/>
      <c r="L125" s="8"/>
      <c r="M125" s="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8"/>
      <c r="L126" s="8"/>
      <c r="M126" s="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8"/>
      <c r="L127" s="8"/>
      <c r="M127" s="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8"/>
      <c r="L128" s="8"/>
      <c r="M128" s="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8"/>
      <c r="L129" s="8"/>
      <c r="M129" s="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8"/>
      <c r="L130" s="8"/>
      <c r="M130" s="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8"/>
      <c r="L131" s="8"/>
      <c r="M131" s="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8"/>
      <c r="L132" s="8"/>
      <c r="M132" s="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8"/>
      <c r="L133" s="8"/>
      <c r="M133" s="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8"/>
      <c r="L134" s="8"/>
      <c r="M134" s="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8"/>
      <c r="L135" s="8"/>
      <c r="M135" s="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8"/>
      <c r="L136" s="8"/>
      <c r="M136" s="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8"/>
      <c r="L137" s="8"/>
      <c r="M137" s="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8"/>
      <c r="L138" s="8"/>
      <c r="M138" s="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8"/>
      <c r="L139" s="8"/>
      <c r="M139" s="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8"/>
      <c r="L140" s="8"/>
      <c r="M140" s="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8"/>
      <c r="L141" s="8"/>
      <c r="M141" s="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8"/>
      <c r="L142" s="8"/>
      <c r="M142" s="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8"/>
      <c r="L143" s="8"/>
      <c r="M143" s="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8"/>
      <c r="L144" s="8"/>
      <c r="M144" s="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8"/>
      <c r="L145" s="8"/>
      <c r="M145" s="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8"/>
      <c r="L146" s="8"/>
      <c r="M146" s="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8"/>
      <c r="L147" s="8"/>
      <c r="M147" s="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8"/>
      <c r="L148" s="8"/>
      <c r="M148" s="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8"/>
      <c r="L149" s="8"/>
      <c r="M149" s="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8"/>
      <c r="L150" s="8"/>
      <c r="M150" s="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8"/>
      <c r="L151" s="8"/>
      <c r="M151" s="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8"/>
      <c r="L152" s="8"/>
      <c r="M152" s="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8"/>
      <c r="L153" s="8"/>
      <c r="M153" s="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8"/>
      <c r="L154" s="8"/>
      <c r="M154" s="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8"/>
      <c r="L155" s="8"/>
      <c r="M155" s="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8"/>
      <c r="L156" s="8"/>
      <c r="M156" s="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8"/>
      <c r="L157" s="8"/>
      <c r="M157" s="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8"/>
      <c r="L158" s="8"/>
      <c r="M158" s="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8"/>
      <c r="L159" s="8"/>
      <c r="M159" s="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8"/>
      <c r="L160" s="8"/>
      <c r="M160" s="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8"/>
      <c r="L161" s="8"/>
      <c r="M161" s="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8"/>
      <c r="L162" s="8"/>
      <c r="M162" s="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8"/>
      <c r="L163" s="8"/>
      <c r="M163" s="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8"/>
      <c r="L164" s="8"/>
      <c r="M164" s="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8"/>
      <c r="L165" s="8"/>
      <c r="M165" s="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8"/>
      <c r="L166" s="8"/>
      <c r="M166" s="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8"/>
      <c r="L167" s="8"/>
      <c r="M167" s="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8"/>
      <c r="L168" s="8"/>
      <c r="M168" s="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8"/>
      <c r="L169" s="8"/>
      <c r="M169" s="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8"/>
      <c r="L170" s="8"/>
      <c r="M170" s="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8"/>
      <c r="L171" s="8"/>
      <c r="M171" s="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8"/>
      <c r="L172" s="8"/>
      <c r="M172" s="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8"/>
      <c r="L173" s="8"/>
      <c r="M173" s="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8"/>
      <c r="L174" s="8"/>
      <c r="M174" s="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8"/>
      <c r="L175" s="8"/>
      <c r="M175" s="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8"/>
      <c r="L176" s="8"/>
      <c r="M176" s="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8"/>
      <c r="L177" s="8"/>
      <c r="M177" s="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8"/>
      <c r="L178" s="8"/>
      <c r="M178" s="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8"/>
      <c r="L179" s="8"/>
      <c r="M179" s="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8"/>
      <c r="L180" s="8"/>
      <c r="M180" s="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8"/>
      <c r="L181" s="8"/>
      <c r="M181" s="8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8"/>
      <c r="L182" s="8"/>
      <c r="M182" s="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8"/>
      <c r="L183" s="8"/>
      <c r="M183" s="8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8"/>
      <c r="L184" s="8"/>
      <c r="M184" s="8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8"/>
      <c r="L185" s="8"/>
      <c r="M185" s="8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8"/>
      <c r="L186" s="8"/>
      <c r="M186" s="8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8"/>
      <c r="L187" s="8"/>
      <c r="M187" s="8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8"/>
      <c r="L188" s="8"/>
      <c r="M188" s="8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8"/>
      <c r="L189" s="8"/>
      <c r="M189" s="8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8"/>
      <c r="L190" s="8"/>
      <c r="M190" s="8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8"/>
      <c r="L191" s="8"/>
      <c r="M191" s="8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8"/>
      <c r="L192" s="8"/>
      <c r="M192" s="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8"/>
      <c r="L193" s="8"/>
      <c r="M193" s="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8"/>
      <c r="L194" s="8"/>
      <c r="M194" s="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8"/>
      <c r="L195" s="8"/>
      <c r="M195" s="8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8"/>
      <c r="L196" s="8"/>
      <c r="M196" s="8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8"/>
      <c r="L197" s="8"/>
      <c r="M197" s="8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8"/>
      <c r="L198" s="8"/>
      <c r="M198" s="8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8"/>
      <c r="L199" s="8"/>
      <c r="M199" s="8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8"/>
      <c r="L200" s="8"/>
      <c r="M200" s="8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8"/>
      <c r="L201" s="8"/>
      <c r="M201" s="8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8"/>
      <c r="L202" s="8"/>
      <c r="M202" s="8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8"/>
      <c r="L203" s="8"/>
      <c r="M203" s="8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8"/>
      <c r="L204" s="8"/>
      <c r="M204" s="8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8"/>
      <c r="L205" s="8"/>
      <c r="M205" s="8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8"/>
      <c r="L206" s="8"/>
      <c r="M206" s="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8"/>
      <c r="L207" s="8"/>
      <c r="M207" s="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8"/>
      <c r="L208" s="8"/>
      <c r="M208" s="8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8"/>
      <c r="L209" s="8"/>
      <c r="M209" s="8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8"/>
      <c r="L210" s="8"/>
      <c r="M210" s="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8"/>
      <c r="L211" s="8"/>
      <c r="M211" s="8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8"/>
      <c r="L212" s="8"/>
      <c r="M212" s="8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8"/>
      <c r="L213" s="8"/>
      <c r="M213" s="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8"/>
      <c r="L214" s="8"/>
      <c r="M214" s="8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8"/>
      <c r="L215" s="8"/>
      <c r="M215" s="8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8"/>
      <c r="L216" s="8"/>
      <c r="M216" s="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8"/>
      <c r="L217" s="8"/>
      <c r="M217" s="8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8"/>
      <c r="L218" s="8"/>
      <c r="M218" s="8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8"/>
      <c r="L219" s="8"/>
      <c r="M219" s="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8"/>
      <c r="L220" s="8"/>
      <c r="M220" s="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8"/>
      <c r="L221" s="8"/>
      <c r="M221" s="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8"/>
      <c r="L222" s="8"/>
      <c r="M222" s="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8"/>
      <c r="L223" s="8"/>
      <c r="M223" s="8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8"/>
      <c r="L224" s="8"/>
      <c r="M224" s="8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8"/>
      <c r="L225" s="8"/>
      <c r="M225" s="8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8"/>
      <c r="L226" s="8"/>
      <c r="M226" s="8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8"/>
      <c r="L227" s="8"/>
      <c r="M227" s="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8"/>
      <c r="L228" s="8"/>
      <c r="M228" s="8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8"/>
      <c r="L229" s="8"/>
      <c r="M229" s="8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8"/>
      <c r="L230" s="8"/>
      <c r="M230" s="8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8"/>
      <c r="L231" s="8"/>
      <c r="M231" s="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8"/>
      <c r="L232" s="8"/>
      <c r="M232" s="8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8"/>
      <c r="L233" s="8"/>
      <c r="M233" s="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8"/>
      <c r="L234" s="8"/>
      <c r="M234" s="8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8"/>
      <c r="L235" s="8"/>
      <c r="M235" s="8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8"/>
      <c r="L236" s="8"/>
      <c r="M236" s="8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8"/>
      <c r="L237" s="8"/>
      <c r="M237" s="8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8"/>
      <c r="L238" s="8"/>
      <c r="M238" s="8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8"/>
      <c r="L239" s="8"/>
      <c r="M239" s="8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8"/>
      <c r="L240" s="8"/>
      <c r="M240" s="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8"/>
      <c r="L241" s="8"/>
      <c r="M241" s="8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8"/>
      <c r="L242" s="8"/>
      <c r="M242" s="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8"/>
      <c r="L243" s="8"/>
      <c r="M243" s="8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8"/>
      <c r="L244" s="8"/>
      <c r="M244" s="8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8"/>
      <c r="L245" s="8"/>
      <c r="M245" s="8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8"/>
      <c r="L246" s="8"/>
      <c r="M246" s="8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8"/>
      <c r="L247" s="8"/>
      <c r="M247" s="8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8"/>
      <c r="L248" s="8"/>
      <c r="M248" s="8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8"/>
      <c r="L249" s="8"/>
      <c r="M249" s="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8"/>
      <c r="L250" s="8"/>
      <c r="M250" s="8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8"/>
      <c r="L251" s="8"/>
      <c r="M251" s="8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8"/>
      <c r="L252" s="8"/>
      <c r="M252" s="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8"/>
      <c r="L253" s="8"/>
      <c r="M253" s="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8"/>
      <c r="L254" s="8"/>
      <c r="M254" s="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8"/>
      <c r="L255" s="8"/>
      <c r="M255" s="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8"/>
      <c r="L256" s="8"/>
      <c r="M256" s="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8"/>
      <c r="L257" s="8"/>
      <c r="M257" s="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8"/>
      <c r="L258" s="8"/>
      <c r="M258" s="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8"/>
      <c r="L259" s="8"/>
      <c r="M259" s="8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8"/>
      <c r="L260" s="8"/>
      <c r="M260" s="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8"/>
      <c r="L261" s="8"/>
      <c r="M261" s="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8"/>
      <c r="L262" s="8"/>
      <c r="M262" s="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8"/>
      <c r="L263" s="8"/>
      <c r="M263" s="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8"/>
      <c r="L264" s="8"/>
      <c r="M264" s="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8"/>
      <c r="L265" s="8"/>
      <c r="M265" s="8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8"/>
      <c r="L266" s="8"/>
      <c r="M266" s="8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8"/>
      <c r="L267" s="8"/>
      <c r="M267" s="8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8"/>
      <c r="L268" s="8"/>
      <c r="M268" s="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8"/>
      <c r="L269" s="8"/>
      <c r="M269" s="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8"/>
      <c r="L270" s="8"/>
      <c r="M270" s="8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8"/>
      <c r="L271" s="8"/>
      <c r="M271" s="8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8"/>
      <c r="L272" s="8"/>
      <c r="M272" s="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8"/>
      <c r="L273" s="8"/>
      <c r="M273" s="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8"/>
      <c r="L274" s="8"/>
      <c r="M274" s="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8"/>
      <c r="L275" s="8"/>
      <c r="M275" s="8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8"/>
      <c r="L276" s="8"/>
      <c r="M276" s="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8"/>
      <c r="L277" s="8"/>
      <c r="M277" s="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8"/>
      <c r="L278" s="8"/>
      <c r="M278" s="8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8"/>
      <c r="L279" s="8"/>
      <c r="M279" s="8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8"/>
      <c r="L280" s="8"/>
      <c r="M280" s="8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8"/>
      <c r="L281" s="8"/>
      <c r="M281" s="8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8"/>
      <c r="L282" s="8"/>
      <c r="M282" s="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8"/>
      <c r="L283" s="8"/>
      <c r="M283" s="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8"/>
      <c r="L284" s="8"/>
      <c r="M284" s="8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8"/>
      <c r="L285" s="8"/>
      <c r="M285" s="8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8"/>
      <c r="L286" s="8"/>
      <c r="M286" s="8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8"/>
      <c r="L287" s="8"/>
      <c r="M287" s="8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8"/>
      <c r="L288" s="8"/>
      <c r="M288" s="8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8"/>
      <c r="L290" s="8"/>
      <c r="M290" s="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8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8"/>
      <c r="L292" s="8"/>
      <c r="M292" s="8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8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8"/>
      <c r="L294" s="8"/>
      <c r="M294" s="8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8"/>
      <c r="L295" s="8"/>
      <c r="M295" s="8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8"/>
      <c r="L296" s="8"/>
      <c r="M296" s="8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8"/>
      <c r="L297" s="8"/>
      <c r="M297" s="8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8"/>
      <c r="L298" s="8"/>
      <c r="M298" s="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8"/>
      <c r="L299" s="8"/>
      <c r="M299" s="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8"/>
      <c r="L300" s="8"/>
      <c r="M300" s="8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8"/>
      <c r="L301" s="8"/>
      <c r="M301" s="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8"/>
      <c r="L302" s="8"/>
      <c r="M302" s="8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8"/>
      <c r="L303" s="8"/>
      <c r="M303" s="8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8"/>
      <c r="L304" s="8"/>
      <c r="M304" s="8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8"/>
      <c r="L305" s="8"/>
      <c r="M305" s="8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8"/>
      <c r="L306" s="8"/>
      <c r="M306" s="8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8"/>
      <c r="L307" s="8"/>
      <c r="M307" s="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8"/>
      <c r="L308" s="8"/>
      <c r="M308" s="8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8"/>
      <c r="L309" s="8"/>
      <c r="M309" s="8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8"/>
      <c r="L310" s="8"/>
      <c r="M310" s="8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8"/>
      <c r="L311" s="8"/>
      <c r="M311" s="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8"/>
      <c r="L312" s="8"/>
      <c r="M312" s="8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8"/>
      <c r="L313" s="8"/>
      <c r="M313" s="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8"/>
      <c r="L314" s="8"/>
      <c r="M314" s="8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8"/>
      <c r="L315" s="8"/>
      <c r="M315" s="8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8"/>
      <c r="L316" s="8"/>
      <c r="M316" s="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8"/>
      <c r="L317" s="8"/>
      <c r="M317" s="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8"/>
      <c r="L318" s="8"/>
      <c r="M318" s="8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8"/>
      <c r="L319" s="8"/>
      <c r="M319" s="8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8"/>
      <c r="L320" s="8"/>
      <c r="M320" s="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8"/>
      <c r="L321" s="8"/>
      <c r="M321" s="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8"/>
      <c r="L322" s="8"/>
      <c r="M322" s="8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8"/>
      <c r="L323" s="8"/>
      <c r="M323" s="8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8"/>
      <c r="L324" s="8"/>
      <c r="M324" s="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8"/>
      <c r="L325" s="8"/>
      <c r="M325" s="8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8"/>
      <c r="L326" s="8"/>
      <c r="M326" s="8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8"/>
      <c r="L327" s="8"/>
      <c r="M327" s="8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8"/>
      <c r="L328" s="8"/>
      <c r="M328" s="8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8"/>
      <c r="L329" s="8"/>
      <c r="M329" s="8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8"/>
      <c r="L330" s="8"/>
      <c r="M330" s="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8"/>
      <c r="L331" s="8"/>
      <c r="M331" s="8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8"/>
      <c r="L332" s="8"/>
      <c r="M332" s="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8"/>
      <c r="L333" s="8"/>
      <c r="M333" s="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8"/>
      <c r="L334" s="8"/>
      <c r="M334" s="8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8"/>
      <c r="L335" s="8"/>
      <c r="M335" s="8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8"/>
      <c r="L336" s="8"/>
      <c r="M336" s="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8"/>
      <c r="L337" s="8"/>
      <c r="M337" s="8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8"/>
      <c r="L338" s="8"/>
      <c r="M338" s="8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8"/>
      <c r="L339" s="8"/>
      <c r="M339" s="8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8"/>
      <c r="L340" s="8"/>
      <c r="M340" s="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8"/>
      <c r="L341" s="8"/>
      <c r="M341" s="8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8"/>
      <c r="L342" s="8"/>
      <c r="M342" s="8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8"/>
      <c r="L343" s="8"/>
      <c r="M343" s="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8"/>
      <c r="L344" s="8"/>
      <c r="M344" s="8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8"/>
      <c r="L345" s="8"/>
      <c r="M345" s="8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8"/>
      <c r="L346" s="8"/>
      <c r="M346" s="8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8"/>
      <c r="L347" s="8"/>
      <c r="M347" s="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8"/>
      <c r="L348" s="8"/>
      <c r="M348" s="8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8"/>
      <c r="L349" s="8"/>
      <c r="M349" s="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8"/>
      <c r="L350" s="8"/>
      <c r="M350" s="8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8"/>
      <c r="L351" s="8"/>
      <c r="M351" s="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8"/>
      <c r="L352" s="8"/>
      <c r="M352" s="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8"/>
      <c r="L353" s="8"/>
      <c r="M353" s="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8"/>
      <c r="L354" s="8"/>
      <c r="M354" s="8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8"/>
      <c r="L355" s="8"/>
      <c r="M355" s="8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8"/>
      <c r="L356" s="8"/>
      <c r="M356" s="8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8"/>
      <c r="L357" s="8"/>
      <c r="M357" s="8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8"/>
      <c r="L358" s="8"/>
      <c r="M358" s="8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8"/>
      <c r="L359" s="8"/>
      <c r="M359" s="8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8"/>
      <c r="L360" s="8"/>
      <c r="M360" s="8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8"/>
      <c r="L361" s="8"/>
      <c r="M361" s="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8"/>
      <c r="L362" s="8"/>
      <c r="M362" s="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8"/>
      <c r="L363" s="8"/>
      <c r="M363" s="8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8"/>
      <c r="L364" s="8"/>
      <c r="M364" s="8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8"/>
      <c r="L365" s="8"/>
      <c r="M365" s="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8"/>
      <c r="L366" s="8"/>
      <c r="M366" s="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8"/>
      <c r="L367" s="8"/>
      <c r="M367" s="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8"/>
      <c r="L368" s="8"/>
      <c r="M368" s="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8"/>
      <c r="L369" s="8"/>
      <c r="M369" s="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8"/>
      <c r="L370" s="8"/>
      <c r="M370" s="8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8"/>
      <c r="L371" s="8"/>
      <c r="M371" s="8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8"/>
      <c r="L372" s="8"/>
      <c r="M372" s="8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8"/>
      <c r="L373" s="8"/>
      <c r="M373" s="8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8"/>
      <c r="L374" s="8"/>
      <c r="M374" s="8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8"/>
      <c r="L375" s="8"/>
      <c r="M375" s="8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8"/>
      <c r="L376" s="8"/>
      <c r="M376" s="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8"/>
      <c r="L377" s="8"/>
      <c r="M377" s="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8"/>
      <c r="L378" s="8"/>
      <c r="M378" s="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8"/>
      <c r="L379" s="8"/>
      <c r="M379" s="8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8"/>
      <c r="L380" s="8"/>
      <c r="M380" s="8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8"/>
      <c r="L381" s="8"/>
      <c r="M381" s="8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8"/>
      <c r="L382" s="8"/>
      <c r="M382" s="8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8"/>
      <c r="L383" s="8"/>
      <c r="M383" s="8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8"/>
      <c r="L384" s="8"/>
      <c r="M384" s="8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8"/>
      <c r="L385" s="8"/>
      <c r="M385" s="8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8"/>
      <c r="L386" s="8"/>
      <c r="M386" s="8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8"/>
      <c r="L387" s="8"/>
      <c r="M387" s="8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8"/>
      <c r="L388" s="8"/>
      <c r="M388" s="8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8"/>
      <c r="L389" s="8"/>
      <c r="M389" s="8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8"/>
      <c r="L390" s="8"/>
      <c r="M390" s="8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8"/>
      <c r="L391" s="8"/>
      <c r="M391" s="8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8"/>
      <c r="L392" s="8"/>
      <c r="M392" s="8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8"/>
      <c r="L393" s="8"/>
      <c r="M393" s="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8"/>
      <c r="L394" s="8"/>
      <c r="M394" s="8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8"/>
      <c r="L395" s="8"/>
      <c r="M395" s="8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8"/>
      <c r="L396" s="8"/>
      <c r="M396" s="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8"/>
      <c r="L397" s="8"/>
      <c r="M397" s="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8"/>
      <c r="L398" s="8"/>
      <c r="M398" s="8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8"/>
      <c r="L399" s="8"/>
      <c r="M399" s="8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8"/>
      <c r="L400" s="8"/>
      <c r="M400" s="8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8"/>
      <c r="L401" s="8"/>
      <c r="M401" s="8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8"/>
      <c r="L402" s="8"/>
      <c r="M402" s="8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8"/>
      <c r="L403" s="8"/>
      <c r="M403" s="8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8"/>
      <c r="L404" s="8"/>
      <c r="M404" s="8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8"/>
      <c r="L405" s="8"/>
      <c r="M405" s="8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8"/>
      <c r="L406" s="8"/>
      <c r="M406" s="8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8"/>
      <c r="L407" s="8"/>
      <c r="M407" s="8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8"/>
      <c r="L408" s="8"/>
      <c r="M408" s="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8"/>
      <c r="L409" s="8"/>
      <c r="M409" s="8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8"/>
      <c r="L410" s="8"/>
      <c r="M410" s="8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8"/>
      <c r="L411" s="8"/>
      <c r="M411" s="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8"/>
      <c r="L412" s="8"/>
      <c r="M412" s="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8"/>
      <c r="L413" s="8"/>
      <c r="M413" s="8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8"/>
      <c r="L414" s="8"/>
      <c r="M414" s="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8"/>
      <c r="L415" s="8"/>
      <c r="M415" s="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8"/>
      <c r="L416" s="8"/>
      <c r="M416" s="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8"/>
      <c r="L417" s="8"/>
      <c r="M417" s="8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8"/>
      <c r="L418" s="8"/>
      <c r="M418" s="8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8"/>
      <c r="L419" s="8"/>
      <c r="M419" s="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8"/>
      <c r="L420" s="8"/>
      <c r="M420" s="8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8"/>
      <c r="L421" s="8"/>
      <c r="M421" s="8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8"/>
      <c r="L422" s="8"/>
      <c r="M422" s="8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8"/>
      <c r="L423" s="8"/>
      <c r="M423" s="8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8"/>
      <c r="L424" s="8"/>
      <c r="M424" s="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8"/>
      <c r="L425" s="8"/>
      <c r="M425" s="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8"/>
      <c r="L426" s="8"/>
      <c r="M426" s="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8"/>
      <c r="L427" s="8"/>
      <c r="M427" s="8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8"/>
      <c r="L428" s="8"/>
      <c r="M428" s="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8"/>
      <c r="L429" s="8"/>
      <c r="M429" s="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8"/>
      <c r="L430" s="8"/>
      <c r="M430" s="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8"/>
      <c r="L431" s="8"/>
      <c r="M431" s="8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8"/>
      <c r="L432" s="8"/>
      <c r="M432" s="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8"/>
      <c r="L433" s="8"/>
      <c r="M433" s="8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8"/>
      <c r="L434" s="8"/>
      <c r="M434" s="8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8"/>
      <c r="L435" s="8"/>
      <c r="M435" s="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8"/>
      <c r="L436" s="8"/>
      <c r="M436" s="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8"/>
      <c r="L437" s="8"/>
      <c r="M437" s="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8"/>
      <c r="L438" s="8"/>
      <c r="M438" s="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8"/>
      <c r="L439" s="8"/>
      <c r="M439" s="8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8"/>
      <c r="L440" s="8"/>
      <c r="M440" s="8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8"/>
      <c r="L441" s="8"/>
      <c r="M441" s="8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8"/>
      <c r="L442" s="8"/>
      <c r="M442" s="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8"/>
      <c r="L443" s="8"/>
      <c r="M443" s="8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8"/>
      <c r="L444" s="8"/>
      <c r="M444" s="8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8"/>
      <c r="L445" s="8"/>
      <c r="M445" s="8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8"/>
      <c r="L446" s="8"/>
      <c r="M446" s="8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8"/>
      <c r="L447" s="8"/>
      <c r="M447" s="8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8"/>
      <c r="L448" s="8"/>
      <c r="M448" s="8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8"/>
      <c r="L449" s="8"/>
      <c r="M449" s="8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8"/>
      <c r="L450" s="8"/>
      <c r="M450" s="8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8"/>
      <c r="L451" s="8"/>
      <c r="M451" s="8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8"/>
      <c r="L452" s="8"/>
      <c r="M452" s="8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8"/>
      <c r="L453" s="8"/>
      <c r="M453" s="8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8"/>
      <c r="L454" s="8"/>
      <c r="M454" s="8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8"/>
      <c r="L455" s="8"/>
      <c r="M455" s="8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8"/>
      <c r="L456" s="8"/>
      <c r="M456" s="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8"/>
      <c r="L457" s="8"/>
      <c r="M457" s="8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8"/>
      <c r="L458" s="8"/>
      <c r="M458" s="8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8"/>
      <c r="L459" s="8"/>
      <c r="M459" s="8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8"/>
      <c r="L460" s="8"/>
      <c r="M460" s="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8"/>
      <c r="L461" s="8"/>
      <c r="M461" s="8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8"/>
      <c r="L462" s="8"/>
      <c r="M462" s="8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8"/>
      <c r="L463" s="8"/>
      <c r="M463" s="8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8"/>
      <c r="L464" s="8"/>
      <c r="M464" s="8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8"/>
      <c r="L465" s="8"/>
      <c r="M465" s="8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8"/>
      <c r="L466" s="8"/>
      <c r="M466" s="8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8"/>
      <c r="L467" s="8"/>
      <c r="M467" s="8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8"/>
      <c r="L468" s="8"/>
      <c r="M468" s="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8"/>
      <c r="L469" s="8"/>
      <c r="M469" s="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8"/>
      <c r="L470" s="8"/>
      <c r="M470" s="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8"/>
      <c r="L471" s="8"/>
      <c r="M471" s="8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8"/>
      <c r="L472" s="8"/>
      <c r="M472" s="8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8"/>
      <c r="L473" s="8"/>
      <c r="M473" s="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8"/>
      <c r="L474" s="8"/>
      <c r="M474" s="8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8"/>
      <c r="L475" s="8"/>
      <c r="M475" s="8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8"/>
      <c r="L476" s="8"/>
      <c r="M476" s="8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8"/>
      <c r="L477" s="8"/>
      <c r="M477" s="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8"/>
      <c r="L478" s="8"/>
      <c r="M478" s="8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8"/>
      <c r="L479" s="8"/>
      <c r="M479" s="8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8"/>
      <c r="L480" s="8"/>
      <c r="M480" s="8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8"/>
      <c r="L481" s="8"/>
      <c r="M481" s="8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8"/>
      <c r="L482" s="8"/>
      <c r="M482" s="8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8"/>
      <c r="L483" s="8"/>
      <c r="M483" s="8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8"/>
      <c r="L484" s="8"/>
      <c r="M484" s="8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8"/>
      <c r="L485" s="8"/>
      <c r="M485" s="8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8"/>
      <c r="L486" s="8"/>
      <c r="M486" s="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8"/>
      <c r="L487" s="8"/>
      <c r="M487" s="8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8"/>
      <c r="L488" s="8"/>
      <c r="M488" s="8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8"/>
      <c r="L489" s="8"/>
      <c r="M489" s="8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8"/>
      <c r="L490" s="8"/>
      <c r="M490" s="8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8"/>
      <c r="L491" s="8"/>
      <c r="M491" s="8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8"/>
      <c r="L492" s="8"/>
      <c r="M492" s="8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8"/>
      <c r="L493" s="8"/>
      <c r="M493" s="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8"/>
      <c r="L494" s="8"/>
      <c r="M494" s="8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8"/>
      <c r="L495" s="8"/>
      <c r="M495" s="8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8"/>
      <c r="L496" s="8"/>
      <c r="M496" s="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8"/>
      <c r="L497" s="8"/>
      <c r="M497" s="8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8"/>
      <c r="L498" s="8"/>
      <c r="M498" s="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8"/>
      <c r="L499" s="8"/>
      <c r="M499" s="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8"/>
      <c r="L500" s="8"/>
      <c r="M500" s="8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8"/>
      <c r="L501" s="8"/>
      <c r="M501" s="8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8"/>
      <c r="L502" s="8"/>
      <c r="M502" s="8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8"/>
      <c r="L503" s="8"/>
      <c r="M503" s="8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8"/>
      <c r="L504" s="8"/>
      <c r="M504" s="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8"/>
      <c r="L505" s="8"/>
      <c r="M505" s="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8"/>
      <c r="L506" s="8"/>
      <c r="M506" s="8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8"/>
      <c r="L507" s="8"/>
      <c r="M507" s="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8"/>
      <c r="L508" s="8"/>
      <c r="M508" s="8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8"/>
      <c r="L509" s="8"/>
      <c r="M509" s="8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8"/>
      <c r="L510" s="8"/>
      <c r="M510" s="8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8"/>
      <c r="L511" s="8"/>
      <c r="M511" s="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8"/>
      <c r="L512" s="8"/>
      <c r="M512" s="8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8"/>
      <c r="L513" s="8"/>
      <c r="M513" s="8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8"/>
      <c r="L514" s="8"/>
      <c r="M514" s="8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8"/>
      <c r="L515" s="8"/>
      <c r="M515" s="8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8"/>
      <c r="L516" s="8"/>
      <c r="M516" s="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8"/>
      <c r="L517" s="8"/>
      <c r="M517" s="8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8"/>
      <c r="L518" s="8"/>
      <c r="M518" s="8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8"/>
      <c r="L519" s="8"/>
      <c r="M519" s="8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8"/>
      <c r="L520" s="8"/>
      <c r="M520" s="8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8"/>
      <c r="L521" s="8"/>
      <c r="M521" s="8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8"/>
      <c r="L522" s="8"/>
      <c r="M522" s="8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8"/>
      <c r="L523" s="8"/>
      <c r="M523" s="8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8"/>
      <c r="L524" s="8"/>
      <c r="M524" s="8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8"/>
      <c r="L525" s="8"/>
      <c r="M525" s="8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8"/>
      <c r="L526" s="8"/>
      <c r="M526" s="8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8"/>
      <c r="L527" s="8"/>
      <c r="M527" s="8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8"/>
      <c r="L528" s="8"/>
      <c r="M528" s="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8"/>
      <c r="L529" s="8"/>
      <c r="M529" s="8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8"/>
      <c r="L530" s="8"/>
      <c r="M530" s="8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8"/>
      <c r="L531" s="8"/>
      <c r="M531" s="8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8"/>
      <c r="L532" s="8"/>
      <c r="M532" s="8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8"/>
      <c r="L533" s="8"/>
      <c r="M533" s="8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8"/>
      <c r="L534" s="8"/>
      <c r="M534" s="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8"/>
      <c r="L535" s="8"/>
      <c r="M535" s="8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8"/>
      <c r="L536" s="8"/>
      <c r="M536" s="8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8"/>
      <c r="L537" s="8"/>
      <c r="M537" s="8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8"/>
      <c r="L538" s="8"/>
      <c r="M538" s="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8"/>
      <c r="L539" s="8"/>
      <c r="M539" s="8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8"/>
      <c r="L540" s="8"/>
      <c r="M540" s="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8"/>
      <c r="L541" s="8"/>
      <c r="M541" s="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8"/>
      <c r="L542" s="8"/>
      <c r="M542" s="8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8"/>
      <c r="L543" s="8"/>
      <c r="M543" s="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8"/>
      <c r="L544" s="8"/>
      <c r="M544" s="8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8"/>
      <c r="L545" s="8"/>
      <c r="M545" s="8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8"/>
      <c r="L546" s="8"/>
      <c r="M546" s="8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8"/>
      <c r="L547" s="8"/>
      <c r="M547" s="8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8"/>
      <c r="L548" s="8"/>
      <c r="M548" s="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8"/>
      <c r="L549" s="8"/>
      <c r="M549" s="8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8"/>
      <c r="L550" s="8"/>
      <c r="M550" s="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8"/>
      <c r="L551" s="8"/>
      <c r="M551" s="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8"/>
      <c r="L552" s="8"/>
      <c r="M552" s="8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8"/>
      <c r="L553" s="8"/>
      <c r="M553" s="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8"/>
      <c r="L554" s="8"/>
      <c r="M554" s="8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8"/>
      <c r="L555" s="8"/>
      <c r="M555" s="8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8"/>
      <c r="L556" s="8"/>
      <c r="M556" s="8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8"/>
      <c r="L557" s="8"/>
      <c r="M557" s="8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8"/>
      <c r="L558" s="8"/>
      <c r="M558" s="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8"/>
      <c r="L559" s="8"/>
      <c r="M559" s="8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8"/>
      <c r="L560" s="8"/>
      <c r="M560" s="8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8"/>
      <c r="L561" s="8"/>
      <c r="M561" s="8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8"/>
      <c r="L562" s="8"/>
      <c r="M562" s="8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8"/>
      <c r="L563" s="8"/>
      <c r="M563" s="8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8"/>
      <c r="L564" s="8"/>
      <c r="M564" s="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8"/>
      <c r="L565" s="8"/>
      <c r="M565" s="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8"/>
      <c r="L566" s="8"/>
      <c r="M566" s="8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8"/>
      <c r="L567" s="8"/>
      <c r="M567" s="8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8"/>
      <c r="L568" s="8"/>
      <c r="M568" s="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8"/>
      <c r="L569" s="8"/>
      <c r="M569" s="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8"/>
      <c r="L570" s="8"/>
      <c r="M570" s="8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8"/>
      <c r="L571" s="8"/>
      <c r="M571" s="8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8"/>
      <c r="L572" s="8"/>
      <c r="M572" s="8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8"/>
      <c r="L573" s="8"/>
      <c r="M573" s="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8"/>
      <c r="L574" s="8"/>
      <c r="M574" s="8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8"/>
      <c r="L575" s="8"/>
      <c r="M575" s="8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8"/>
      <c r="L576" s="8"/>
      <c r="M576" s="8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8"/>
      <c r="L577" s="8"/>
      <c r="M577" s="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8"/>
      <c r="L578" s="8"/>
      <c r="M578" s="8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8"/>
      <c r="L579" s="8"/>
      <c r="M579" s="8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8"/>
      <c r="L580" s="8"/>
      <c r="M580" s="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8"/>
      <c r="L581" s="8"/>
      <c r="M581" s="8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8"/>
      <c r="L582" s="8"/>
      <c r="M582" s="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8"/>
      <c r="L583" s="8"/>
      <c r="M583" s="8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8"/>
      <c r="L584" s="8"/>
      <c r="M584" s="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8"/>
      <c r="L585" s="8"/>
      <c r="M585" s="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8"/>
      <c r="L586" s="8"/>
      <c r="M586" s="8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8"/>
      <c r="L587" s="8"/>
      <c r="M587" s="8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8"/>
      <c r="L588" s="8"/>
      <c r="M588" s="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8"/>
      <c r="L589" s="8"/>
      <c r="M589" s="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8"/>
      <c r="L590" s="8"/>
      <c r="M590" s="8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8"/>
      <c r="L591" s="8"/>
      <c r="M591" s="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8"/>
      <c r="L592" s="8"/>
      <c r="M592" s="8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8"/>
      <c r="L593" s="8"/>
      <c r="M593" s="8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8"/>
      <c r="L594" s="8"/>
      <c r="M594" s="8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8"/>
      <c r="L595" s="8"/>
      <c r="M595" s="8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8"/>
      <c r="L596" s="8"/>
      <c r="M596" s="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8"/>
      <c r="L597" s="8"/>
      <c r="M597" s="8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8"/>
      <c r="L598" s="8"/>
      <c r="M598" s="8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8"/>
      <c r="L599" s="8"/>
      <c r="M599" s="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8"/>
      <c r="L600" s="8"/>
      <c r="M600" s="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8"/>
      <c r="L601" s="8"/>
      <c r="M601" s="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8"/>
      <c r="L602" s="8"/>
      <c r="M602" s="8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8"/>
      <c r="L603" s="8"/>
      <c r="M603" s="8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8"/>
      <c r="L604" s="8"/>
      <c r="M604" s="8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8"/>
      <c r="L605" s="8"/>
      <c r="M605" s="8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8"/>
      <c r="L606" s="8"/>
      <c r="M606" s="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8"/>
      <c r="L607" s="8"/>
      <c r="M607" s="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8"/>
      <c r="L608" s="8"/>
      <c r="M608" s="8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8"/>
      <c r="L609" s="8"/>
      <c r="M609" s="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8"/>
      <c r="L610" s="8"/>
      <c r="M610" s="8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8"/>
      <c r="L611" s="8"/>
      <c r="M611" s="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8"/>
      <c r="L612" s="8"/>
      <c r="M612" s="8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8"/>
      <c r="L613" s="8"/>
      <c r="M613" s="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8"/>
      <c r="L614" s="8"/>
      <c r="M614" s="8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8"/>
      <c r="L615" s="8"/>
      <c r="M615" s="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8"/>
      <c r="L616" s="8"/>
      <c r="M616" s="8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8"/>
      <c r="L617" s="8"/>
      <c r="M617" s="8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8"/>
      <c r="L618" s="8"/>
      <c r="M618" s="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8"/>
      <c r="L619" s="8"/>
      <c r="M619" s="8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8"/>
      <c r="L620" s="8"/>
      <c r="M620" s="8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8"/>
      <c r="L621" s="8"/>
      <c r="M621" s="8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8"/>
      <c r="L622" s="8"/>
      <c r="M622" s="8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8"/>
      <c r="L623" s="8"/>
      <c r="M623" s="8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8"/>
      <c r="L624" s="8"/>
      <c r="M624" s="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8"/>
      <c r="L625" s="8"/>
      <c r="M625" s="8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8"/>
      <c r="L626" s="8"/>
      <c r="M626" s="8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8"/>
      <c r="L627" s="8"/>
      <c r="M627" s="8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8"/>
      <c r="L628" s="8"/>
      <c r="M628" s="8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8"/>
      <c r="L629" s="8"/>
      <c r="M629" s="8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8"/>
      <c r="L630" s="8"/>
      <c r="M630" s="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8"/>
      <c r="L631" s="8"/>
      <c r="M631" s="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8"/>
      <c r="L632" s="8"/>
      <c r="M632" s="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8"/>
      <c r="L633" s="8"/>
      <c r="M633" s="8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8"/>
      <c r="L634" s="8"/>
      <c r="M634" s="8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8"/>
      <c r="L635" s="8"/>
      <c r="M635" s="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8"/>
      <c r="L636" s="8"/>
      <c r="M636" s="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8"/>
      <c r="L637" s="8"/>
      <c r="M637" s="8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8"/>
      <c r="L638" s="8"/>
      <c r="M638" s="8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8"/>
      <c r="L639" s="8"/>
      <c r="M639" s="8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8"/>
      <c r="L640" s="8"/>
      <c r="M640" s="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8"/>
      <c r="L641" s="8"/>
      <c r="M641" s="8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8"/>
      <c r="L642" s="8"/>
      <c r="M642" s="8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8"/>
      <c r="L643" s="8"/>
      <c r="M643" s="8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8"/>
      <c r="L644" s="8"/>
      <c r="M644" s="8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8"/>
      <c r="L645" s="8"/>
      <c r="M645" s="8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8"/>
      <c r="L646" s="8"/>
      <c r="M646" s="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8"/>
      <c r="L647" s="8"/>
      <c r="M647" s="8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8"/>
      <c r="L648" s="8"/>
      <c r="M648" s="8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8"/>
      <c r="L649" s="8"/>
      <c r="M649" s="8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8"/>
      <c r="L650" s="8"/>
      <c r="M650" s="8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8"/>
      <c r="L651" s="8"/>
      <c r="M651" s="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8"/>
      <c r="L652" s="8"/>
      <c r="M652" s="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8"/>
      <c r="L653" s="8"/>
      <c r="M653" s="8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8"/>
      <c r="L654" s="8"/>
      <c r="M654" s="8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8"/>
      <c r="L655" s="8"/>
      <c r="M655" s="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8"/>
      <c r="L656" s="8"/>
      <c r="M656" s="8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8"/>
      <c r="L657" s="8"/>
      <c r="M657" s="8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8"/>
      <c r="L658" s="8"/>
      <c r="M658" s="8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8"/>
      <c r="L659" s="8"/>
      <c r="M659" s="8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8"/>
      <c r="L660" s="8"/>
      <c r="M660" s="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8"/>
      <c r="L661" s="8"/>
      <c r="M661" s="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8"/>
      <c r="L662" s="8"/>
      <c r="M662" s="8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8"/>
      <c r="L663" s="8"/>
      <c r="M663" s="8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8"/>
      <c r="L664" s="8"/>
      <c r="M664" s="8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8"/>
      <c r="L665" s="8"/>
      <c r="M665" s="8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8"/>
      <c r="L666" s="8"/>
      <c r="M666" s="8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8"/>
      <c r="L667" s="8"/>
      <c r="M667" s="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8"/>
      <c r="L668" s="8"/>
      <c r="M668" s="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8"/>
      <c r="L669" s="8"/>
      <c r="M669" s="8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8"/>
      <c r="L670" s="8"/>
      <c r="M670" s="8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8"/>
      <c r="L671" s="8"/>
      <c r="M671" s="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8"/>
      <c r="L672" s="8"/>
      <c r="M672" s="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8"/>
      <c r="L673" s="8"/>
      <c r="M673" s="8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8"/>
      <c r="L674" s="8"/>
      <c r="M674" s="8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8"/>
      <c r="L675" s="8"/>
      <c r="M675" s="8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8"/>
      <c r="L676" s="8"/>
      <c r="M676" s="8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8"/>
      <c r="L677" s="8"/>
      <c r="M677" s="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8"/>
      <c r="L678" s="8"/>
      <c r="M678" s="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8"/>
      <c r="L679" s="8"/>
      <c r="M679" s="8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8"/>
      <c r="L680" s="8"/>
      <c r="M680" s="8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8"/>
      <c r="L681" s="8"/>
      <c r="M681" s="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8"/>
      <c r="L682" s="8"/>
      <c r="M682" s="8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8"/>
      <c r="L683" s="8"/>
      <c r="M683" s="8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8"/>
      <c r="L684" s="8"/>
      <c r="M684" s="8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8"/>
      <c r="L685" s="8"/>
      <c r="M685" s="8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8"/>
      <c r="L686" s="8"/>
      <c r="M686" s="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8"/>
      <c r="L687" s="8"/>
      <c r="M687" s="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8"/>
      <c r="L688" s="8"/>
      <c r="M688" s="8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8"/>
      <c r="L689" s="8"/>
      <c r="M689" s="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8"/>
      <c r="L690" s="8"/>
      <c r="M690" s="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8"/>
      <c r="L691" s="8"/>
      <c r="M691" s="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8"/>
      <c r="L692" s="8"/>
      <c r="M692" s="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8"/>
      <c r="L693" s="8"/>
      <c r="M693" s="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8"/>
      <c r="L694" s="8"/>
      <c r="M694" s="8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8"/>
      <c r="L695" s="8"/>
      <c r="M695" s="8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8"/>
      <c r="L696" s="8"/>
      <c r="M696" s="8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8"/>
      <c r="L697" s="8"/>
      <c r="M697" s="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8"/>
      <c r="L698" s="8"/>
      <c r="M698" s="8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8"/>
      <c r="L699" s="8"/>
      <c r="M699" s="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8"/>
      <c r="L700" s="8"/>
      <c r="M700" s="8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8"/>
      <c r="L701" s="8"/>
      <c r="M701" s="8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8"/>
      <c r="L702" s="8"/>
      <c r="M702" s="8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8"/>
      <c r="L703" s="8"/>
      <c r="M703" s="8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8"/>
      <c r="L704" s="8"/>
      <c r="M704" s="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8"/>
      <c r="L705" s="8"/>
      <c r="M705" s="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8"/>
      <c r="L706" s="8"/>
      <c r="M706" s="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8"/>
      <c r="L707" s="8"/>
      <c r="M707" s="8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8"/>
      <c r="L708" s="8"/>
      <c r="M708" s="8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8"/>
      <c r="L709" s="8"/>
      <c r="M709" s="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8"/>
      <c r="L710" s="8"/>
      <c r="M710" s="8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8"/>
      <c r="L711" s="8"/>
      <c r="M711" s="8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8"/>
      <c r="L712" s="8"/>
      <c r="M712" s="8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8"/>
      <c r="L713" s="8"/>
      <c r="M713" s="8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8"/>
      <c r="L714" s="8"/>
      <c r="M714" s="8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8"/>
      <c r="L715" s="8"/>
      <c r="M715" s="8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8"/>
      <c r="L716" s="8"/>
      <c r="M716" s="8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8"/>
      <c r="L717" s="8"/>
      <c r="M717" s="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8"/>
      <c r="L718" s="8"/>
      <c r="M718" s="8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8"/>
      <c r="L719" s="8"/>
      <c r="M719" s="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8"/>
      <c r="L720" s="8"/>
      <c r="M720" s="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8"/>
      <c r="L721" s="8"/>
      <c r="M721" s="8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8"/>
      <c r="L722" s="8"/>
      <c r="M722" s="8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8"/>
      <c r="L723" s="8"/>
      <c r="M723" s="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8"/>
      <c r="L724" s="8"/>
      <c r="M724" s="8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8"/>
      <c r="L725" s="8"/>
      <c r="M725" s="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8"/>
      <c r="L726" s="8"/>
      <c r="M726" s="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8"/>
      <c r="L727" s="8"/>
      <c r="M727" s="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8"/>
      <c r="L728" s="8"/>
      <c r="M728" s="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8"/>
      <c r="L729" s="8"/>
      <c r="M729" s="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8"/>
      <c r="L730" s="8"/>
      <c r="M730" s="8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8"/>
      <c r="L731" s="8"/>
      <c r="M731" s="8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8"/>
      <c r="L732" s="8"/>
      <c r="M732" s="8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8"/>
      <c r="L733" s="8"/>
      <c r="M733" s="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8"/>
      <c r="L734" s="8"/>
      <c r="M734" s="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8"/>
      <c r="L735" s="8"/>
      <c r="M735" s="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8"/>
      <c r="L736" s="8"/>
      <c r="M736" s="8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8"/>
      <c r="L737" s="8"/>
      <c r="M737" s="8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8"/>
      <c r="L738" s="8"/>
      <c r="M738" s="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8"/>
      <c r="L739" s="8"/>
      <c r="M739" s="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8"/>
      <c r="L740" s="8"/>
      <c r="M740" s="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8"/>
      <c r="L741" s="8"/>
      <c r="M741" s="8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8"/>
      <c r="L742" s="8"/>
      <c r="M742" s="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8"/>
      <c r="L743" s="8"/>
      <c r="M743" s="8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8"/>
      <c r="L744" s="8"/>
      <c r="M744" s="8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8"/>
      <c r="L745" s="8"/>
      <c r="M745" s="8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8"/>
      <c r="L746" s="8"/>
      <c r="M746" s="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8"/>
      <c r="L747" s="8"/>
      <c r="M747" s="8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8"/>
      <c r="L748" s="8"/>
      <c r="M748" s="8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8"/>
      <c r="L749" s="8"/>
      <c r="M749" s="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8"/>
      <c r="L750" s="8"/>
      <c r="M750" s="8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8"/>
      <c r="L751" s="8"/>
      <c r="M751" s="8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8"/>
      <c r="L752" s="8"/>
      <c r="M752" s="8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8"/>
      <c r="L753" s="8"/>
      <c r="M753" s="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8"/>
      <c r="L754" s="8"/>
      <c r="M754" s="8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8"/>
      <c r="L755" s="8"/>
      <c r="M755" s="8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8"/>
      <c r="L756" s="8"/>
      <c r="M756" s="8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8"/>
      <c r="L757" s="8"/>
      <c r="M757" s="8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8"/>
      <c r="L758" s="8"/>
      <c r="M758" s="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8"/>
      <c r="L759" s="8"/>
      <c r="M759" s="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8"/>
      <c r="L760" s="8"/>
      <c r="M760" s="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8"/>
      <c r="L761" s="8"/>
      <c r="M761" s="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8"/>
      <c r="L762" s="8"/>
      <c r="M762" s="8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8"/>
      <c r="L763" s="8"/>
      <c r="M763" s="8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8"/>
      <c r="L764" s="8"/>
      <c r="M764" s="8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8"/>
      <c r="L765" s="8"/>
      <c r="M765" s="8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8"/>
      <c r="L766" s="8"/>
      <c r="M766" s="8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8"/>
      <c r="L767" s="8"/>
      <c r="M767" s="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8"/>
      <c r="L768" s="8"/>
      <c r="M768" s="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8"/>
      <c r="L769" s="8"/>
      <c r="M769" s="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8"/>
      <c r="L770" s="8"/>
      <c r="M770" s="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8"/>
      <c r="L771" s="8"/>
      <c r="M771" s="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8"/>
      <c r="L772" s="8"/>
      <c r="M772" s="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8"/>
      <c r="L773" s="8"/>
      <c r="M773" s="8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8"/>
      <c r="L774" s="8"/>
      <c r="M774" s="8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8"/>
      <c r="L775" s="8"/>
      <c r="M775" s="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8"/>
      <c r="L776" s="8"/>
      <c r="M776" s="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8"/>
      <c r="L777" s="8"/>
      <c r="M777" s="8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8"/>
      <c r="L778" s="8"/>
      <c r="M778" s="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8"/>
      <c r="L779" s="8"/>
      <c r="M779" s="8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8"/>
      <c r="L780" s="8"/>
      <c r="M780" s="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8"/>
      <c r="L781" s="8"/>
      <c r="M781" s="8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8"/>
      <c r="L782" s="8"/>
      <c r="M782" s="8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8"/>
      <c r="L783" s="8"/>
      <c r="M783" s="8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8"/>
      <c r="L784" s="8"/>
      <c r="M784" s="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8"/>
      <c r="L785" s="8"/>
      <c r="M785" s="8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8"/>
      <c r="L786" s="8"/>
      <c r="M786" s="8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8"/>
      <c r="L787" s="8"/>
      <c r="M787" s="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8"/>
      <c r="L788" s="8"/>
      <c r="M788" s="8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8"/>
      <c r="L789" s="8"/>
      <c r="M789" s="8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8"/>
      <c r="L790" s="8"/>
      <c r="M790" s="8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8"/>
      <c r="L791" s="8"/>
      <c r="M791" s="8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8"/>
      <c r="L792" s="8"/>
      <c r="M792" s="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8"/>
      <c r="L793" s="8"/>
      <c r="M793" s="8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8"/>
      <c r="L794" s="8"/>
      <c r="M794" s="8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8"/>
      <c r="L795" s="8"/>
      <c r="M795" s="8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8"/>
      <c r="L796" s="8"/>
      <c r="M796" s="8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8"/>
      <c r="L797" s="8"/>
      <c r="M797" s="8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8"/>
      <c r="L798" s="8"/>
      <c r="M798" s="8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8"/>
      <c r="L799" s="8"/>
      <c r="M799" s="8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8"/>
      <c r="L800" s="8"/>
      <c r="M800" s="8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8"/>
      <c r="L801" s="8"/>
      <c r="M801" s="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8"/>
      <c r="L802" s="8"/>
      <c r="M802" s="8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8"/>
      <c r="L803" s="8"/>
      <c r="M803" s="8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8"/>
      <c r="L804" s="8"/>
      <c r="M804" s="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8"/>
      <c r="L805" s="8"/>
      <c r="M805" s="8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8"/>
      <c r="L806" s="8"/>
      <c r="M806" s="8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8"/>
      <c r="L807" s="8"/>
      <c r="M807" s="8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8"/>
      <c r="L808" s="8"/>
      <c r="M808" s="8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8"/>
      <c r="L809" s="8"/>
      <c r="M809" s="8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8"/>
      <c r="L810" s="8"/>
      <c r="M810" s="8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8"/>
      <c r="L811" s="8"/>
      <c r="M811" s="8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8"/>
      <c r="L812" s="8"/>
      <c r="M812" s="8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8"/>
      <c r="L813" s="8"/>
      <c r="M813" s="8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8"/>
      <c r="L814" s="8"/>
      <c r="M814" s="8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8"/>
      <c r="L815" s="8"/>
      <c r="M815" s="8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8"/>
      <c r="L816" s="8"/>
      <c r="M816" s="8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8"/>
      <c r="L817" s="8"/>
      <c r="M817" s="8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8"/>
      <c r="L818" s="8"/>
      <c r="M818" s="8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8"/>
      <c r="L819" s="8"/>
      <c r="M819" s="8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8"/>
      <c r="L820" s="8"/>
      <c r="M820" s="8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8"/>
      <c r="L821" s="8"/>
      <c r="M821" s="8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8"/>
      <c r="L822" s="8"/>
      <c r="M822" s="8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8"/>
      <c r="L823" s="8"/>
      <c r="M823" s="8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8"/>
      <c r="L824" s="8"/>
      <c r="M824" s="8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8"/>
      <c r="L825" s="8"/>
      <c r="M825" s="8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8"/>
      <c r="L826" s="8"/>
      <c r="M826" s="8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8"/>
      <c r="L827" s="8"/>
      <c r="M827" s="8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8"/>
      <c r="L828" s="8"/>
      <c r="M828" s="8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8"/>
      <c r="L829" s="8"/>
      <c r="M829" s="8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8"/>
      <c r="L830" s="8"/>
      <c r="M830" s="8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8"/>
      <c r="L831" s="8"/>
      <c r="M831" s="8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8"/>
      <c r="L832" s="8"/>
      <c r="M832" s="8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8"/>
      <c r="L833" s="8"/>
      <c r="M833" s="8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8"/>
      <c r="L834" s="8"/>
      <c r="M834" s="8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8"/>
      <c r="L835" s="8"/>
      <c r="M835" s="8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8"/>
      <c r="L836" s="8"/>
      <c r="M836" s="8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8"/>
      <c r="L837" s="8"/>
      <c r="M837" s="8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8"/>
      <c r="L838" s="8"/>
      <c r="M838" s="8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8"/>
      <c r="L839" s="8"/>
      <c r="M839" s="8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8"/>
      <c r="L840" s="8"/>
      <c r="M840" s="8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8"/>
      <c r="L841" s="8"/>
      <c r="M841" s="8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8"/>
      <c r="L842" s="8"/>
      <c r="M842" s="8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8"/>
      <c r="L843" s="8"/>
      <c r="M843" s="8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8"/>
      <c r="L844" s="8"/>
      <c r="M844" s="8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8"/>
      <c r="L845" s="8"/>
      <c r="M845" s="8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8"/>
      <c r="L846" s="8"/>
      <c r="M846" s="8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8"/>
      <c r="L847" s="8"/>
      <c r="M847" s="8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8"/>
      <c r="L848" s="8"/>
      <c r="M848" s="8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8"/>
      <c r="L849" s="8"/>
      <c r="M849" s="8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8"/>
      <c r="L850" s="8"/>
      <c r="M850" s="8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8"/>
      <c r="L851" s="8"/>
      <c r="M851" s="8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8"/>
      <c r="L852" s="8"/>
      <c r="M852" s="8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8"/>
      <c r="L853" s="8"/>
      <c r="M853" s="8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8"/>
      <c r="L854" s="8"/>
      <c r="M854" s="8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8"/>
      <c r="L855" s="8"/>
      <c r="M855" s="8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8"/>
      <c r="L856" s="8"/>
      <c r="M856" s="8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8"/>
      <c r="L857" s="8"/>
      <c r="M857" s="8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8"/>
      <c r="L858" s="8"/>
      <c r="M858" s="8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8"/>
      <c r="L859" s="8"/>
      <c r="M859" s="8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8"/>
      <c r="L860" s="8"/>
      <c r="M860" s="8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8"/>
      <c r="L861" s="8"/>
      <c r="M861" s="8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8"/>
      <c r="L862" s="8"/>
      <c r="M862" s="8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8"/>
      <c r="L863" s="8"/>
      <c r="M863" s="8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8"/>
      <c r="L864" s="8"/>
      <c r="M864" s="8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8"/>
      <c r="L865" s="8"/>
      <c r="M865" s="8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8"/>
      <c r="L866" s="8"/>
      <c r="M866" s="8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8"/>
      <c r="L867" s="8"/>
      <c r="M867" s="8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8"/>
      <c r="L868" s="8"/>
      <c r="M868" s="8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8"/>
      <c r="L869" s="8"/>
      <c r="M869" s="8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8"/>
      <c r="L870" s="8"/>
      <c r="M870" s="8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8"/>
      <c r="L871" s="8"/>
      <c r="M871" s="8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8"/>
      <c r="L872" s="8"/>
      <c r="M872" s="8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8"/>
      <c r="L873" s="8"/>
      <c r="M873" s="8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8"/>
      <c r="L874" s="8"/>
      <c r="M874" s="8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8"/>
      <c r="L875" s="8"/>
      <c r="M875" s="8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8"/>
      <c r="L876" s="8"/>
      <c r="M876" s="8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8"/>
      <c r="L877" s="8"/>
      <c r="M877" s="8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8"/>
      <c r="L878" s="8"/>
      <c r="M878" s="8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8"/>
      <c r="L879" s="8"/>
      <c r="M879" s="8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8"/>
      <c r="L880" s="8"/>
      <c r="M880" s="8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8"/>
      <c r="L881" s="8"/>
      <c r="M881" s="8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8"/>
      <c r="L882" s="8"/>
      <c r="M882" s="8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8"/>
      <c r="L883" s="8"/>
      <c r="M883" s="8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8"/>
      <c r="L884" s="8"/>
      <c r="M884" s="8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8"/>
      <c r="L885" s="8"/>
      <c r="M885" s="8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8"/>
      <c r="L886" s="8"/>
      <c r="M886" s="8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8"/>
      <c r="L887" s="8"/>
      <c r="M887" s="8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8"/>
      <c r="L888" s="8"/>
      <c r="M888" s="8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8"/>
      <c r="L889" s="8"/>
      <c r="M889" s="8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8"/>
      <c r="L890" s="8"/>
      <c r="M890" s="8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8"/>
      <c r="L891" s="8"/>
      <c r="M891" s="8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8"/>
      <c r="L892" s="8"/>
      <c r="M892" s="8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8"/>
      <c r="L893" s="8"/>
      <c r="M893" s="8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8"/>
      <c r="L894" s="8"/>
      <c r="M894" s="8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8"/>
      <c r="L895" s="8"/>
      <c r="M895" s="8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8"/>
      <c r="L896" s="8"/>
      <c r="M896" s="8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8"/>
      <c r="L897" s="8"/>
      <c r="M897" s="8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8"/>
      <c r="L898" s="8"/>
      <c r="M898" s="8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8"/>
      <c r="L899" s="8"/>
      <c r="M899" s="8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8"/>
      <c r="L900" s="8"/>
      <c r="M900" s="8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8"/>
      <c r="L901" s="8"/>
      <c r="M901" s="8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8"/>
      <c r="L902" s="8"/>
      <c r="M902" s="8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8"/>
      <c r="L903" s="8"/>
      <c r="M903" s="8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8"/>
      <c r="L904" s="8"/>
      <c r="M904" s="8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8"/>
      <c r="L905" s="8"/>
      <c r="M905" s="8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8"/>
      <c r="L906" s="8"/>
      <c r="M906" s="8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8"/>
      <c r="L907" s="8"/>
      <c r="M907" s="8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8"/>
      <c r="L908" s="8"/>
      <c r="M908" s="8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8"/>
      <c r="L909" s="8"/>
      <c r="M909" s="8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8"/>
      <c r="L910" s="8"/>
      <c r="M910" s="8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8"/>
      <c r="L911" s="8"/>
      <c r="M911" s="8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8"/>
      <c r="L912" s="8"/>
      <c r="M912" s="8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8"/>
      <c r="L913" s="8"/>
      <c r="M913" s="8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8"/>
      <c r="L914" s="8"/>
      <c r="M914" s="8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8"/>
      <c r="L915" s="8"/>
      <c r="M915" s="8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8"/>
      <c r="L916" s="8"/>
      <c r="M916" s="8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8"/>
      <c r="L917" s="8"/>
      <c r="M917" s="8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8"/>
      <c r="L918" s="8"/>
      <c r="M918" s="8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8"/>
      <c r="L919" s="8"/>
      <c r="M919" s="8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8"/>
      <c r="L920" s="8"/>
      <c r="M920" s="8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8"/>
      <c r="L921" s="8"/>
      <c r="M921" s="8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8"/>
      <c r="L922" s="8"/>
      <c r="M922" s="8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8"/>
      <c r="L923" s="8"/>
      <c r="M923" s="8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8"/>
      <c r="L924" s="8"/>
      <c r="M924" s="8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8"/>
      <c r="L925" s="8"/>
      <c r="M925" s="8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8"/>
      <c r="L926" s="8"/>
      <c r="M926" s="8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8"/>
      <c r="L927" s="8"/>
      <c r="M927" s="8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8"/>
      <c r="L928" s="8"/>
      <c r="M928" s="8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8"/>
      <c r="L929" s="8"/>
      <c r="M929" s="8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8"/>
      <c r="L930" s="8"/>
      <c r="M930" s="8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8"/>
      <c r="L931" s="8"/>
      <c r="M931" s="8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8"/>
      <c r="L932" s="8"/>
      <c r="M932" s="8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8"/>
      <c r="L933" s="8"/>
      <c r="M933" s="8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8"/>
      <c r="L934" s="8"/>
      <c r="M934" s="8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8"/>
      <c r="L935" s="8"/>
      <c r="M935" s="8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8"/>
      <c r="L936" s="8"/>
      <c r="M936" s="8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8"/>
      <c r="L937" s="8"/>
      <c r="M937" s="8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8"/>
      <c r="L938" s="8"/>
      <c r="M938" s="8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8"/>
      <c r="L939" s="8"/>
      <c r="M939" s="8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8"/>
      <c r="L940" s="8"/>
      <c r="M940" s="8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8"/>
      <c r="L941" s="8"/>
      <c r="M941" s="8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8"/>
      <c r="L942" s="8"/>
      <c r="M942" s="8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8"/>
      <c r="L943" s="8"/>
      <c r="M943" s="8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8"/>
      <c r="L944" s="8"/>
      <c r="M944" s="8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8"/>
      <c r="L945" s="8"/>
      <c r="M945" s="8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8"/>
      <c r="L946" s="8"/>
      <c r="M946" s="8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8"/>
      <c r="L947" s="8"/>
      <c r="M947" s="8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8"/>
      <c r="L948" s="8"/>
      <c r="M948" s="8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8"/>
      <c r="L949" s="8"/>
      <c r="M949" s="8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8"/>
      <c r="L950" s="8"/>
      <c r="M950" s="8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8"/>
      <c r="L951" s="8"/>
      <c r="M951" s="8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8"/>
      <c r="L952" s="8"/>
      <c r="M952" s="8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8"/>
      <c r="L953" s="8"/>
      <c r="M953" s="8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8"/>
      <c r="L954" s="8"/>
      <c r="M954" s="8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8"/>
      <c r="L955" s="8"/>
      <c r="M955" s="8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8"/>
      <c r="L956" s="8"/>
      <c r="M956" s="8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8"/>
      <c r="L957" s="8"/>
      <c r="M957" s="8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8"/>
      <c r="L958" s="8"/>
      <c r="M958" s="8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8"/>
      <c r="L959" s="8"/>
      <c r="M959" s="8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8"/>
      <c r="L960" s="8"/>
      <c r="M960" s="8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8"/>
      <c r="L961" s="8"/>
      <c r="M961" s="8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8"/>
      <c r="L962" s="8"/>
      <c r="M962" s="8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8"/>
      <c r="L963" s="8"/>
      <c r="M963" s="8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8"/>
      <c r="L964" s="8"/>
      <c r="M964" s="8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8"/>
      <c r="L965" s="8"/>
      <c r="M965" s="8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8"/>
      <c r="L966" s="8"/>
      <c r="M966" s="8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8"/>
      <c r="L967" s="8"/>
      <c r="M967" s="8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8"/>
      <c r="L968" s="8"/>
      <c r="M968" s="8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8"/>
      <c r="L969" s="8"/>
      <c r="M969" s="8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8"/>
      <c r="L970" s="8"/>
      <c r="M970" s="8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8"/>
      <c r="L971" s="8"/>
      <c r="M971" s="8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8"/>
      <c r="L972" s="8"/>
      <c r="M972" s="8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8"/>
      <c r="L973" s="8"/>
      <c r="M973" s="8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8"/>
      <c r="L974" s="8"/>
      <c r="M974" s="8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8"/>
      <c r="L975" s="8"/>
      <c r="M975" s="8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8"/>
      <c r="L976" s="8"/>
      <c r="M976" s="8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8"/>
      <c r="L977" s="8"/>
      <c r="M977" s="8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8"/>
      <c r="L978" s="8"/>
      <c r="M978" s="8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8"/>
      <c r="L979" s="8"/>
      <c r="M979" s="8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8"/>
      <c r="L980" s="8"/>
      <c r="M980" s="8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8"/>
      <c r="L981" s="8"/>
      <c r="M981" s="8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8"/>
      <c r="L982" s="8"/>
      <c r="M982" s="8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8"/>
      <c r="L983" s="8"/>
      <c r="M983" s="8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8"/>
      <c r="L984" s="8"/>
      <c r="M984" s="8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8"/>
      <c r="L985" s="8"/>
      <c r="M985" s="8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8"/>
      <c r="L986" s="8"/>
      <c r="M986" s="8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8"/>
      <c r="L987" s="8"/>
      <c r="M987" s="8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8"/>
      <c r="L988" s="8"/>
      <c r="M988" s="8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8"/>
      <c r="L989" s="8"/>
      <c r="M989" s="8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8"/>
      <c r="L990" s="8"/>
      <c r="M990" s="8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8"/>
      <c r="L991" s="8"/>
      <c r="M991" s="8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8"/>
      <c r="L992" s="8"/>
      <c r="M992" s="8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8"/>
      <c r="L993" s="8"/>
      <c r="M993" s="8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8"/>
      <c r="L994" s="8"/>
      <c r="M994" s="8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8"/>
      <c r="L995" s="8"/>
      <c r="M995" s="8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8"/>
      <c r="L996" s="8"/>
      <c r="M996" s="8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8"/>
      <c r="L997" s="8"/>
      <c r="M997" s="8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8"/>
      <c r="L998" s="8"/>
      <c r="M998" s="8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8"/>
      <c r="L999" s="8"/>
      <c r="M999" s="8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8"/>
      <c r="L1000" s="8"/>
      <c r="M1000" s="8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8"/>
      <c r="L1001" s="8"/>
      <c r="M1001" s="8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8"/>
      <c r="L1002" s="8"/>
      <c r="M1002" s="8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8"/>
      <c r="L1003" s="8"/>
      <c r="M1003" s="8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8"/>
      <c r="L1004" s="8"/>
      <c r="M1004" s="8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8"/>
      <c r="L1005" s="8"/>
      <c r="M1005" s="8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8"/>
      <c r="L1006" s="8"/>
      <c r="M1006" s="8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8"/>
      <c r="L1007" s="8"/>
      <c r="M1007" s="8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8"/>
      <c r="L1008" s="8"/>
      <c r="M1008" s="8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8"/>
      <c r="L1009" s="8"/>
      <c r="M1009" s="8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8"/>
      <c r="L1010" s="8"/>
      <c r="M1010" s="8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8"/>
      <c r="L1011" s="8"/>
      <c r="M1011" s="8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8"/>
      <c r="L1012" s="8"/>
      <c r="M1012" s="8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8"/>
      <c r="L1013" s="8"/>
      <c r="M1013" s="8"/>
      <c r="N1013" s="5"/>
      <c r="O1013" s="18"/>
      <c r="P1013" s="18"/>
      <c r="Q1013" s="18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8"/>
      <c r="L1014" s="8"/>
      <c r="M1014" s="8"/>
      <c r="N1014" s="5"/>
      <c r="O1014" s="18"/>
      <c r="P1014" s="18"/>
      <c r="Q1014" s="18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8"/>
      <c r="L1015" s="8"/>
      <c r="M1015" s="8"/>
      <c r="N1015" s="5"/>
      <c r="O1015" s="18"/>
      <c r="P1015" s="18"/>
      <c r="Q1015" s="18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8"/>
      <c r="L1016" s="8"/>
      <c r="M1016" s="8"/>
      <c r="N1016" s="5"/>
      <c r="O1016" s="18"/>
      <c r="P1016" s="18"/>
      <c r="Q1016" s="18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8"/>
      <c r="L1017" s="8"/>
      <c r="M1017" s="8"/>
      <c r="N1017" s="5"/>
      <c r="O1017" s="18"/>
      <c r="P1017" s="18"/>
      <c r="Q1017" s="18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8"/>
      <c r="L1018" s="8"/>
      <c r="M1018" s="8"/>
      <c r="N1018" s="5"/>
      <c r="O1018" s="18"/>
      <c r="P1018" s="18"/>
      <c r="Q1018" s="18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8"/>
      <c r="L1019" s="8"/>
      <c r="M1019" s="8"/>
      <c r="N1019" s="5"/>
      <c r="O1019" s="18"/>
      <c r="P1019" s="18"/>
      <c r="Q1019" s="18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8"/>
      <c r="L1020" s="8"/>
      <c r="M1020" s="8"/>
      <c r="N1020" s="5"/>
      <c r="O1020" s="18"/>
      <c r="P1020" s="18"/>
      <c r="Q1020" s="18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8"/>
      <c r="L1021" s="8"/>
      <c r="M1021" s="8"/>
      <c r="N1021" s="5"/>
      <c r="O1021" s="18"/>
      <c r="P1021" s="18"/>
      <c r="Q1021" s="18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</sheetData>
  <drawing r:id="rId1"/>
</worksheet>
</file>